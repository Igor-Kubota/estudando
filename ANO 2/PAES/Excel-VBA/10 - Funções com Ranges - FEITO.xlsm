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6C74DE5A-A147-42D2-B838-9A83233477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hamadas da funções" sheetId="1" r:id="rId1"/>
  </sheets>
  <functionGroups builtInGroupCount="19"/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7" i="1" l="1" a="1"/>
  <c r="E53" i="1" a="1"/>
  <c r="E52" i="1" a="1"/>
  <c r="E48" i="1" a="1"/>
  <c r="I39" i="1" a="1"/>
  <c r="I41" i="1" a="1"/>
  <c r="E57" i="1" l="1"/>
  <c r="E53" i="1"/>
  <c r="E52" i="1"/>
  <c r="E48" i="1"/>
  <c r="I39" i="1"/>
  <c r="I41" i="1"/>
  <c r="G28" i="1" a="1"/>
  <c r="G28" i="1" s="1"/>
  <c r="G24" i="1" a="1"/>
  <c r="G24" i="1" s="1"/>
  <c r="G20" i="1" a="1"/>
  <c r="G20" i="1" s="1"/>
  <c r="G16" i="1" a="1"/>
  <c r="G16" i="1" s="1"/>
  <c r="K12" i="1" a="1"/>
  <c r="K12" i="1" s="1"/>
  <c r="H8" i="1" a="1"/>
  <c r="H8" i="1" s="1"/>
  <c r="H4" i="1" a="1"/>
  <c r="H4" i="1" s="1"/>
  <c r="I43" i="1" a="1"/>
  <c r="I37" i="1" a="1"/>
  <c r="I35" i="1" a="1"/>
  <c r="D37" i="1" a="1"/>
  <c r="D41" i="1" a="1"/>
  <c r="D43" i="1" a="1"/>
  <c r="D39" i="1" a="1"/>
  <c r="D35" i="1" a="1"/>
  <c r="I43" i="1" l="1"/>
  <c r="I37" i="1"/>
  <c r="I35" i="1"/>
  <c r="D39" i="1"/>
  <c r="D43" i="1"/>
  <c r="D41" i="1"/>
  <c r="D37" i="1"/>
  <c r="D3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<sst xmlns="http://schemas.openxmlformats.org/spreadsheetml/2006/main" count="26" uniqueCount="18">
  <si>
    <t>x</t>
  </si>
  <si>
    <t>A</t>
  </si>
  <si>
    <t>b</t>
  </si>
  <si>
    <r>
      <t>x (A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>x=b)</t>
    </r>
  </si>
  <si>
    <t>det2x2(A)</t>
  </si>
  <si>
    <t>MedRange(x)</t>
  </si>
  <si>
    <t>Fórmulas de Matriz:</t>
  </si>
  <si>
    <t>+</t>
  </si>
  <si>
    <t>=</t>
  </si>
  <si>
    <t>*</t>
  </si>
  <si>
    <t>-</t>
  </si>
  <si>
    <t>/</t>
  </si>
  <si>
    <t>^</t>
  </si>
  <si>
    <t>COS(</t>
  </si>
  <si>
    <t>) =</t>
  </si>
  <si>
    <t>Teste Exercício 01</t>
  </si>
  <si>
    <t>Teste Exercício 02</t>
  </si>
  <si>
    <t>Teste Exercício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</si>
</sst>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/>
    <xf numFmtId="164" fontId="0" fillId="3" borderId="1" xfId="0" applyNumberForma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0" fillId="0" borderId="10" xfId="0" applyNumberFormat="1" applyFill="1" applyBorder="1" applyAlignment="1">
      <alignment horizontal="center" vertical="center"/>
    </xf>
    <xf numFmtId="164" fontId="0" fillId="0" borderId="11" xfId="0" applyNumberFormat="1" applyFill="1" applyBorder="1" applyAlignment="1">
      <alignment horizontal="center" vertical="center"/>
    </xf>
    <xf numFmtId="164" fontId="0" fillId="0" borderId="12" xfId="0" applyNumberFormat="1" applyFill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0" fillId="3" borderId="14" xfId="0" applyNumberForma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0" fontId="0" fillId="4" borderId="0" xfId="0" applyFill="1"/>
    <xf numFmtId="164" fontId="0" fillId="0" borderId="29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2" fontId="0" fillId="4" borderId="22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6" xfId="0" applyNumberFormat="1" applyFill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2" fontId="0" fillId="4" borderId="35" xfId="0" applyNumberFormat="1" applyFill="1" applyBorder="1" applyAlignment="1">
      <alignment horizontal="center" vertical="center"/>
    </xf>
    <xf numFmtId="2" fontId="0" fillId="4" borderId="36" xfId="0" applyNumberForma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0" fontId="0" fillId="3" borderId="14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286578</xdr:colOff>
      <xdr:row>0</xdr:row>
      <xdr:rowOff>72886</xdr:rowOff>
    </xdr:from>
    <xdr:to>
      <xdr:col>14</xdr:col>
      <xdr:colOff>74542</xdr:colOff>
      <xdr:row>10</xdr:row>
      <xdr:rowOff>0</xdr:rowOff>
    </xdr:to>
    <xdr:sp macro="" textlink="">
      <xdr:nvSpPr>
        <xdr:cNvPr id="4" name="Texto Explicativo: Linha Dobr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948238" y="72886"/>
          <a:ext cx="3049324" cy="1755914"/>
        </a:xfrm>
        <a:prstGeom prst="borderCallout2">
          <a:avLst>
            <a:gd name="adj1" fmla="val 9073"/>
            <a:gd name="adj2" fmla="val -3036"/>
            <a:gd name="adj3" fmla="val 9073"/>
            <a:gd name="adj4" fmla="val -15062"/>
            <a:gd name="adj5" fmla="val 34215"/>
            <a:gd name="adj6" fmla="val -35470"/>
          </a:avLst>
        </a:prstGeom>
        <a:solidFill>
          <a:schemeClr val="accent6">
            <a:lumMod val="40000"/>
            <a:lumOff val="60000"/>
          </a:schemeClr>
        </a:solidFill>
        <a:ln w="3175">
          <a:solidFill>
            <a:sysClr val="windowText" lastClr="000000"/>
          </a:solidFill>
          <a:tailEnd type="oval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Colagem de fórmula de matriz em</a:t>
          </a:r>
          <a:r>
            <a:rPr lang="pt-BR" sz="1100" b="1" baseline="0">
              <a:solidFill>
                <a:sysClr val="windowText" lastClr="000000"/>
              </a:solidFill>
            </a:rPr>
            <a:t> um "Range":</a:t>
          </a:r>
        </a:p>
        <a:p>
          <a:pPr algn="l"/>
          <a:r>
            <a:rPr lang="pt-BR" sz="1100" b="0" baseline="0">
              <a:solidFill>
                <a:sysClr val="windowText" lastClr="000000"/>
              </a:solidFill>
            </a:rPr>
            <a:t>1) Insira a fórmula na primeira célula;</a:t>
          </a:r>
          <a:endParaRPr lang="pt-BR" sz="1100" b="0">
            <a:solidFill>
              <a:sysClr val="windowText" lastClr="000000"/>
            </a:solidFill>
          </a:endParaRPr>
        </a:p>
        <a:p>
          <a:pPr algn="l"/>
          <a:r>
            <a:rPr lang="pt-BR" sz="1100">
              <a:solidFill>
                <a:sysClr val="windowText" lastClr="000000"/>
              </a:solidFill>
            </a:rPr>
            <a:t>2) marque o "Range";</a:t>
          </a:r>
        </a:p>
        <a:p>
          <a:pPr algn="l"/>
          <a:r>
            <a:rPr lang="pt-BR" sz="1100">
              <a:solidFill>
                <a:sysClr val="windowText" lastClr="000000"/>
              </a:solidFill>
            </a:rPr>
            <a:t>3) toque</a:t>
          </a:r>
          <a:r>
            <a:rPr lang="pt-BR" sz="1100" baseline="0">
              <a:solidFill>
                <a:sysClr val="windowText" lastClr="000000"/>
              </a:solidFill>
            </a:rPr>
            <a:t> na tecla F2 para edição;</a:t>
          </a:r>
        </a:p>
        <a:p>
          <a:pPr algn="l"/>
          <a:r>
            <a:rPr lang="pt-BR" sz="1100" baseline="0">
              <a:solidFill>
                <a:sysClr val="windowText" lastClr="000000"/>
              </a:solidFill>
            </a:rPr>
            <a:t>4) segurando as teclas Ctrl e Shift(</a:t>
          </a:r>
          <a:r>
            <a:rPr lang="pt-BR" sz="1100" baseline="0">
              <a:solidFill>
                <a:sysClr val="windowText" lastClr="000000"/>
              </a:solidFill>
              <a:sym typeface="Wingdings" panose="05000000000000000000" pitchFamily="2" charset="2"/>
            </a:rPr>
            <a:t></a:t>
          </a:r>
          <a:r>
            <a:rPr lang="pt-BR" sz="1100" baseline="0">
              <a:solidFill>
                <a:sysClr val="windowText" lastClr="000000"/>
              </a:solidFill>
            </a:rPr>
            <a:t>),  toque na tecla Enter(</a:t>
          </a:r>
          <a:r>
            <a:rPr lang="pt-BR" sz="1100" baseline="0">
              <a:solidFill>
                <a:sysClr val="windowText" lastClr="000000"/>
              </a:solidFill>
              <a:sym typeface="Wingdings" panose="05000000000000000000" pitchFamily="2" charset="2"/>
            </a:rPr>
            <a:t></a:t>
          </a:r>
          <a:r>
            <a:rPr lang="pt-BR" sz="1100" baseline="0">
              <a:solidFill>
                <a:sysClr val="windowText" lastClr="000000"/>
              </a:solidFill>
            </a:rPr>
            <a:t>);</a:t>
          </a:r>
          <a:endParaRPr lang="pt-BR" sz="1100">
            <a:solidFill>
              <a:sysClr val="windowText" lastClr="000000"/>
            </a:solidFill>
          </a:endParaRPr>
        </a:p>
        <a:p>
          <a:pPr algn="l"/>
          <a:r>
            <a:rPr lang="pt-BR" sz="1100">
              <a:solidFill>
                <a:sysClr val="windowText" lastClr="000000"/>
              </a:solidFill>
            </a:rPr>
            <a:t>5) observe que nas células</a:t>
          </a:r>
          <a:r>
            <a:rPr lang="pt-BR" sz="1100" baseline="0">
              <a:solidFill>
                <a:sysClr val="windowText" lastClr="000000"/>
              </a:solidFill>
            </a:rPr>
            <a:t> do "Range" os conteúdos ficam entre chaves </a:t>
          </a:r>
          <a:r>
            <a:rPr lang="pt-BR" sz="1100" b="1" baseline="0">
              <a:solidFill>
                <a:sysClr val="windowText" lastClr="000000"/>
              </a:solidFill>
            </a:rPr>
            <a:t>{</a:t>
          </a:r>
          <a:r>
            <a:rPr lang="pt-BR" sz="1100" baseline="0">
              <a:solidFill>
                <a:sysClr val="windowText" lastClr="000000"/>
              </a:solidFill>
            </a:rPr>
            <a:t>...</a:t>
          </a:r>
          <a:r>
            <a:rPr lang="pt-BR" sz="1100" b="1" baseline="0">
              <a:solidFill>
                <a:sysClr val="windowText" lastClr="000000"/>
              </a:solidFill>
            </a:rPr>
            <a:t>}</a:t>
          </a:r>
          <a:r>
            <a:rPr lang="pt-BR" sz="1100" baseline="0">
              <a:solidFill>
                <a:sysClr val="windowText" lastClr="000000"/>
              </a:solidFill>
            </a:rPr>
            <a:t> após a colagem.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331304</xdr:colOff>
      <xdr:row>31</xdr:row>
      <xdr:rowOff>0</xdr:rowOff>
    </xdr:from>
    <xdr:to>
      <xdr:col>15</xdr:col>
      <xdr:colOff>144116</xdr:colOff>
      <xdr:row>40</xdr:row>
      <xdr:rowOff>182879</xdr:rowOff>
    </xdr:to>
    <xdr:sp macro="" textlink="">
      <xdr:nvSpPr>
        <xdr:cNvPr id="5" name="Texto Explicativo: Linha Dobrada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48284" y="5669280"/>
          <a:ext cx="3028452" cy="1859279"/>
        </a:xfrm>
        <a:prstGeom prst="borderCallout2">
          <a:avLst>
            <a:gd name="adj1" fmla="val 9073"/>
            <a:gd name="adj2" fmla="val -3036"/>
            <a:gd name="adj3" fmla="val 9073"/>
            <a:gd name="adj4" fmla="val -15062"/>
            <a:gd name="adj5" fmla="val 34215"/>
            <a:gd name="adj6" fmla="val -35470"/>
          </a:avLst>
        </a:prstGeom>
        <a:solidFill>
          <a:schemeClr val="accent6">
            <a:lumMod val="40000"/>
            <a:lumOff val="60000"/>
          </a:schemeClr>
        </a:solidFill>
        <a:ln w="3175">
          <a:solidFill>
            <a:sysClr val="windowText" lastClr="000000"/>
          </a:solidFill>
          <a:tailEnd type="oval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ysClr val="windowText" lastClr="000000"/>
              </a:solidFill>
            </a:rPr>
            <a:t>Colagem de fórmula de matriz em</a:t>
          </a:r>
          <a:r>
            <a:rPr lang="pt-BR" sz="1100" b="1" baseline="0">
              <a:solidFill>
                <a:sysClr val="windowText" lastClr="000000"/>
              </a:solidFill>
            </a:rPr>
            <a:t> um "Range":</a:t>
          </a:r>
        </a:p>
        <a:p>
          <a:pPr algn="l"/>
          <a:r>
            <a:rPr lang="pt-BR" sz="1100" b="0" baseline="0">
              <a:solidFill>
                <a:sysClr val="windowText" lastClr="000000"/>
              </a:solidFill>
            </a:rPr>
            <a:t>1) Insira a fórmula na primeira célula;</a:t>
          </a:r>
          <a:endParaRPr lang="pt-BR" sz="1100" b="0">
            <a:solidFill>
              <a:sysClr val="windowText" lastClr="000000"/>
            </a:solidFill>
          </a:endParaRPr>
        </a:p>
        <a:p>
          <a:pPr algn="l"/>
          <a:r>
            <a:rPr lang="pt-BR" sz="1100">
              <a:solidFill>
                <a:sysClr val="windowText" lastClr="000000"/>
              </a:solidFill>
            </a:rPr>
            <a:t>2) marque o "Range";</a:t>
          </a:r>
        </a:p>
        <a:p>
          <a:pPr algn="l"/>
          <a:r>
            <a:rPr lang="pt-BR" sz="1100">
              <a:solidFill>
                <a:sysClr val="windowText" lastClr="000000"/>
              </a:solidFill>
            </a:rPr>
            <a:t>3) toque</a:t>
          </a:r>
          <a:r>
            <a:rPr lang="pt-BR" sz="1100" baseline="0">
              <a:solidFill>
                <a:sysClr val="windowText" lastClr="000000"/>
              </a:solidFill>
            </a:rPr>
            <a:t> na tecla F2 para edição;</a:t>
          </a:r>
        </a:p>
        <a:p>
          <a:pPr algn="l"/>
          <a:r>
            <a:rPr lang="pt-BR" sz="1100" baseline="0">
              <a:solidFill>
                <a:sysClr val="windowText" lastClr="000000"/>
              </a:solidFill>
            </a:rPr>
            <a:t>4) segurando as teclas Ctrl e Shift(</a:t>
          </a:r>
          <a:r>
            <a:rPr lang="pt-BR" sz="1100" baseline="0">
              <a:solidFill>
                <a:sysClr val="windowText" lastClr="000000"/>
              </a:solidFill>
              <a:sym typeface="Wingdings" panose="05000000000000000000" pitchFamily="2" charset="2"/>
            </a:rPr>
            <a:t></a:t>
          </a:r>
          <a:r>
            <a:rPr lang="pt-BR" sz="1100" baseline="0">
              <a:solidFill>
                <a:sysClr val="windowText" lastClr="000000"/>
              </a:solidFill>
            </a:rPr>
            <a:t>),  toque na tecla Enter(</a:t>
          </a:r>
          <a:r>
            <a:rPr lang="pt-BR" sz="1100" baseline="0">
              <a:solidFill>
                <a:sysClr val="windowText" lastClr="000000"/>
              </a:solidFill>
              <a:sym typeface="Wingdings" panose="05000000000000000000" pitchFamily="2" charset="2"/>
            </a:rPr>
            <a:t></a:t>
          </a:r>
          <a:r>
            <a:rPr lang="pt-BR" sz="1100" baseline="0">
              <a:solidFill>
                <a:sysClr val="windowText" lastClr="000000"/>
              </a:solidFill>
            </a:rPr>
            <a:t>);</a:t>
          </a:r>
          <a:endParaRPr lang="pt-BR" sz="1100">
            <a:solidFill>
              <a:sysClr val="windowText" lastClr="000000"/>
            </a:solidFill>
          </a:endParaRPr>
        </a:p>
        <a:p>
          <a:pPr algn="l"/>
          <a:r>
            <a:rPr lang="pt-BR" sz="1100">
              <a:solidFill>
                <a:sysClr val="windowText" lastClr="000000"/>
              </a:solidFill>
            </a:rPr>
            <a:t>5) observe que nas células</a:t>
          </a:r>
          <a:r>
            <a:rPr lang="pt-BR" sz="1100" baseline="0">
              <a:solidFill>
                <a:sysClr val="windowText" lastClr="000000"/>
              </a:solidFill>
            </a:rPr>
            <a:t> do "Range" os conteúdos ficam entre chaves </a:t>
          </a:r>
          <a:r>
            <a:rPr lang="pt-BR" sz="1100" b="1" baseline="0">
              <a:solidFill>
                <a:sysClr val="windowText" lastClr="000000"/>
              </a:solidFill>
            </a:rPr>
            <a:t>{</a:t>
          </a:r>
          <a:r>
            <a:rPr lang="pt-BR" sz="1100" baseline="0">
              <a:solidFill>
                <a:sysClr val="windowText" lastClr="000000"/>
              </a:solidFill>
            </a:rPr>
            <a:t>...</a:t>
          </a:r>
          <a:r>
            <a:rPr lang="pt-BR" sz="1100" b="1" baseline="0">
              <a:solidFill>
                <a:sysClr val="windowText" lastClr="000000"/>
              </a:solidFill>
            </a:rPr>
            <a:t>}</a:t>
          </a:r>
          <a:r>
            <a:rPr lang="pt-BR" sz="1100" baseline="0">
              <a:solidFill>
                <a:sysClr val="windowText" lastClr="000000"/>
              </a:solidFill>
            </a:rPr>
            <a:t> após a colagem.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L62"/>
  <sheetViews>
    <sheetView tabSelected="1" zoomScale="130" zoomScaleNormal="130" workbookViewId="0">
      <selection activeCell="H29" sqref="H29"/>
    </sheetView>
  </sheetViews>
  <sheetFormatPr defaultRowHeight="15" x14ac:dyDescent="0.25"/>
  <cols>
    <col min="3" max="3" width="8.5703125" customWidth="1"/>
    <col min="4" max="4" width="9.7109375" customWidth="1"/>
    <col min="5" max="5" width="9.140625" customWidth="1"/>
    <col min="7" max="7" width="9.28515625" customWidth="1"/>
    <col min="8" max="8" width="10.28515625" customWidth="1"/>
    <col min="10" max="10" width="9.5703125" bestFit="1" customWidth="1"/>
    <col min="11" max="11" width="9.5703125" customWidth="1"/>
    <col min="12" max="12" width="8.85546875" customWidth="1"/>
    <col min="14" max="14" width="10.7109375" customWidth="1"/>
  </cols>
  <sheetData>
    <row r="1" spans="2:12" x14ac:dyDescent="0.25">
      <c r="B1" s="4"/>
      <c r="C1" s="4"/>
      <c r="E1" s="4"/>
      <c r="F1" s="4"/>
    </row>
    <row r="2" spans="2:12" x14ac:dyDescent="0.25">
      <c r="B2" s="46" t="s">
        <v>6</v>
      </c>
      <c r="C2" s="46"/>
      <c r="D2" s="46"/>
      <c r="F2" s="4"/>
    </row>
    <row r="3" spans="2:12" x14ac:dyDescent="0.25">
      <c r="B3" s="4"/>
      <c r="C3" s="4"/>
      <c r="E3" s="4"/>
      <c r="F3" s="4"/>
    </row>
    <row r="4" spans="2:12" x14ac:dyDescent="0.25">
      <c r="B4" s="8">
        <v>1</v>
      </c>
      <c r="C4" s="8">
        <v>2</v>
      </c>
      <c r="E4" s="8">
        <v>-1</v>
      </c>
      <c r="F4" s="8">
        <v>0</v>
      </c>
      <c r="H4" s="7" cm="1">
        <f t="array" ref="H4:I6">B4:C6+E4:F6</f>
        <v>0</v>
      </c>
      <c r="I4" s="7">
        <v>2</v>
      </c>
    </row>
    <row r="5" spans="2:12" x14ac:dyDescent="0.25">
      <c r="B5" s="8">
        <v>3</v>
      </c>
      <c r="C5" s="8">
        <v>4</v>
      </c>
      <c r="D5" s="9" t="s">
        <v>7</v>
      </c>
      <c r="E5" s="8">
        <v>5</v>
      </c>
      <c r="F5" s="8">
        <v>-8</v>
      </c>
      <c r="G5" s="9" t="s">
        <v>8</v>
      </c>
      <c r="H5" s="7">
        <v>8</v>
      </c>
      <c r="I5" s="7">
        <v>-4</v>
      </c>
    </row>
    <row r="6" spans="2:12" x14ac:dyDescent="0.25">
      <c r="B6" s="8">
        <v>5</v>
      </c>
      <c r="C6" s="8">
        <v>6</v>
      </c>
      <c r="E6" s="8">
        <v>2</v>
      </c>
      <c r="F6" s="8">
        <v>-3</v>
      </c>
      <c r="H6" s="7">
        <v>7</v>
      </c>
      <c r="I6" s="7">
        <v>3</v>
      </c>
    </row>
    <row r="7" spans="2:12" x14ac:dyDescent="0.25">
      <c r="B7" s="4"/>
      <c r="C7" s="4"/>
      <c r="E7" s="4"/>
      <c r="F7" s="4"/>
    </row>
    <row r="8" spans="2:12" x14ac:dyDescent="0.25">
      <c r="B8" s="8">
        <v>1</v>
      </c>
      <c r="C8" s="8">
        <v>2</v>
      </c>
      <c r="E8" s="8">
        <v>-1</v>
      </c>
      <c r="F8" s="8">
        <v>0</v>
      </c>
      <c r="H8" s="7" cm="1">
        <f t="array" ref="H8:I10">B8:C10*E8:F10</f>
        <v>-1</v>
      </c>
      <c r="I8" s="7">
        <v>0</v>
      </c>
    </row>
    <row r="9" spans="2:12" x14ac:dyDescent="0.25">
      <c r="B9" s="8">
        <v>3</v>
      </c>
      <c r="C9" s="8">
        <v>4</v>
      </c>
      <c r="D9" s="9" t="s">
        <v>9</v>
      </c>
      <c r="E9" s="8">
        <v>5</v>
      </c>
      <c r="F9" s="8">
        <v>-8</v>
      </c>
      <c r="G9" s="9" t="s">
        <v>8</v>
      </c>
      <c r="H9" s="7">
        <v>15</v>
      </c>
      <c r="I9" s="7">
        <v>-32</v>
      </c>
    </row>
    <row r="10" spans="2:12" x14ac:dyDescent="0.25">
      <c r="B10" s="8">
        <v>5</v>
      </c>
      <c r="C10" s="8">
        <v>6</v>
      </c>
      <c r="E10" s="8">
        <v>2</v>
      </c>
      <c r="F10" s="8">
        <v>-3</v>
      </c>
      <c r="H10" s="7">
        <v>10</v>
      </c>
      <c r="I10" s="7">
        <v>-18</v>
      </c>
    </row>
    <row r="11" spans="2:12" x14ac:dyDescent="0.25">
      <c r="B11" s="4"/>
      <c r="C11" s="4"/>
      <c r="E11" s="4"/>
      <c r="F11" s="4"/>
    </row>
    <row r="12" spans="2:12" x14ac:dyDescent="0.25">
      <c r="B12" s="8">
        <v>1</v>
      </c>
      <c r="C12" s="8">
        <v>2</v>
      </c>
      <c r="E12" s="8">
        <v>-1</v>
      </c>
      <c r="F12" s="8">
        <v>0</v>
      </c>
      <c r="H12" s="8">
        <v>2</v>
      </c>
      <c r="I12" s="8">
        <v>2</v>
      </c>
      <c r="K12" s="7" cm="1">
        <f t="array" ref="K12:L14">B12:C14-E12:F14/H12:I14</f>
        <v>1.5</v>
      </c>
      <c r="L12" s="7">
        <v>2</v>
      </c>
    </row>
    <row r="13" spans="2:12" x14ac:dyDescent="0.25">
      <c r="B13" s="8">
        <v>3</v>
      </c>
      <c r="C13" s="8">
        <v>4</v>
      </c>
      <c r="D13" s="9" t="s">
        <v>10</v>
      </c>
      <c r="E13" s="8">
        <v>5</v>
      </c>
      <c r="F13" s="8">
        <v>-8</v>
      </c>
      <c r="G13" s="9" t="s">
        <v>11</v>
      </c>
      <c r="H13" s="8">
        <v>2</v>
      </c>
      <c r="I13" s="8">
        <v>2</v>
      </c>
      <c r="J13" s="9" t="s">
        <v>8</v>
      </c>
      <c r="K13" s="7">
        <v>0.5</v>
      </c>
      <c r="L13" s="7">
        <v>8</v>
      </c>
    </row>
    <row r="14" spans="2:12" x14ac:dyDescent="0.25">
      <c r="B14" s="8">
        <v>5</v>
      </c>
      <c r="C14" s="8">
        <v>6</v>
      </c>
      <c r="E14" s="8">
        <v>2</v>
      </c>
      <c r="F14" s="8">
        <v>-3</v>
      </c>
      <c r="H14" s="8">
        <v>2</v>
      </c>
      <c r="I14" s="8">
        <v>2</v>
      </c>
      <c r="K14" s="7">
        <v>4</v>
      </c>
      <c r="L14" s="7">
        <v>7.5</v>
      </c>
    </row>
    <row r="16" spans="2:12" x14ac:dyDescent="0.25">
      <c r="D16" s="8">
        <v>1</v>
      </c>
      <c r="E16" s="8">
        <v>2</v>
      </c>
      <c r="G16" s="7" cm="1">
        <f t="array" ref="G16:H18">B17*D16:E18</f>
        <v>4</v>
      </c>
      <c r="H16" s="7">
        <v>8</v>
      </c>
    </row>
    <row r="17" spans="2:8" x14ac:dyDescent="0.25">
      <c r="B17" s="8">
        <v>4</v>
      </c>
      <c r="C17" s="9" t="s">
        <v>9</v>
      </c>
      <c r="D17" s="8">
        <v>3</v>
      </c>
      <c r="E17" s="8">
        <v>4</v>
      </c>
      <c r="F17" s="9" t="s">
        <v>8</v>
      </c>
      <c r="G17" s="7">
        <v>12</v>
      </c>
      <c r="H17" s="7">
        <v>16</v>
      </c>
    </row>
    <row r="18" spans="2:8" x14ac:dyDescent="0.25">
      <c r="B18" s="4"/>
      <c r="C18" s="4"/>
      <c r="D18" s="8">
        <v>5</v>
      </c>
      <c r="E18" s="8">
        <v>6</v>
      </c>
      <c r="F18" s="4"/>
      <c r="G18" s="7">
        <v>20</v>
      </c>
      <c r="H18" s="7">
        <v>24</v>
      </c>
    </row>
    <row r="20" spans="2:8" x14ac:dyDescent="0.25">
      <c r="B20" s="8">
        <v>1</v>
      </c>
      <c r="C20" s="8">
        <v>2</v>
      </c>
      <c r="G20" s="7" cm="1">
        <f t="array" ref="G20:H22">B20:C22+E21</f>
        <v>6</v>
      </c>
      <c r="H20" s="7">
        <v>7</v>
      </c>
    </row>
    <row r="21" spans="2:8" x14ac:dyDescent="0.25">
      <c r="B21" s="8">
        <v>3</v>
      </c>
      <c r="C21" s="8">
        <v>4</v>
      </c>
      <c r="D21" s="9" t="s">
        <v>7</v>
      </c>
      <c r="E21" s="8">
        <v>5</v>
      </c>
      <c r="F21" s="9" t="s">
        <v>8</v>
      </c>
      <c r="G21" s="7">
        <v>8</v>
      </c>
      <c r="H21" s="7">
        <v>9</v>
      </c>
    </row>
    <row r="22" spans="2:8" x14ac:dyDescent="0.25">
      <c r="B22" s="8">
        <v>5</v>
      </c>
      <c r="C22" s="8">
        <v>6</v>
      </c>
      <c r="G22" s="7">
        <v>10</v>
      </c>
      <c r="H22" s="7">
        <v>11</v>
      </c>
    </row>
    <row r="24" spans="2:8" x14ac:dyDescent="0.25">
      <c r="B24" s="8">
        <v>1</v>
      </c>
      <c r="C24" s="8">
        <v>2</v>
      </c>
      <c r="E24" s="4"/>
      <c r="F24" s="4"/>
      <c r="G24" s="7" cm="1">
        <f t="array" ref="G24:H26">B24:C26^E25</f>
        <v>1</v>
      </c>
      <c r="H24" s="7">
        <v>4</v>
      </c>
    </row>
    <row r="25" spans="2:8" x14ac:dyDescent="0.25">
      <c r="B25" s="8">
        <v>3</v>
      </c>
      <c r="C25" s="8">
        <v>4</v>
      </c>
      <c r="D25" s="9" t="s">
        <v>12</v>
      </c>
      <c r="E25" s="8">
        <v>2</v>
      </c>
      <c r="F25" s="9" t="s">
        <v>8</v>
      </c>
      <c r="G25" s="7">
        <v>9</v>
      </c>
      <c r="H25" s="7">
        <v>16</v>
      </c>
    </row>
    <row r="26" spans="2:8" x14ac:dyDescent="0.25">
      <c r="B26" s="8">
        <v>5</v>
      </c>
      <c r="C26" s="8">
        <v>6</v>
      </c>
      <c r="E26" s="4"/>
      <c r="F26" s="4"/>
      <c r="G26" s="7">
        <v>25</v>
      </c>
      <c r="H26" s="7">
        <v>36</v>
      </c>
    </row>
    <row r="27" spans="2:8" x14ac:dyDescent="0.25">
      <c r="B27" s="4"/>
      <c r="C27" s="4"/>
      <c r="E27" s="4"/>
      <c r="F27" s="4"/>
    </row>
    <row r="28" spans="2:8" x14ac:dyDescent="0.25">
      <c r="C28" s="4"/>
      <c r="D28" s="8">
        <v>1</v>
      </c>
      <c r="E28" s="8">
        <v>2</v>
      </c>
      <c r="F28" s="4"/>
      <c r="G28" s="7" cm="1">
        <f t="array" ref="G28:H30">COS(D28:E30)</f>
        <v>0.54030230586813977</v>
      </c>
      <c r="H28" s="7">
        <v>-0.41614683654714241</v>
      </c>
    </row>
    <row r="29" spans="2:8" x14ac:dyDescent="0.25">
      <c r="C29" s="10" t="s">
        <v>13</v>
      </c>
      <c r="D29" s="8">
        <v>3</v>
      </c>
      <c r="E29" s="8">
        <v>4</v>
      </c>
      <c r="F29" s="9" t="s">
        <v>14</v>
      </c>
      <c r="G29" s="7">
        <v>-0.98999249660044542</v>
      </c>
      <c r="H29" s="7">
        <v>-0.65364362086361194</v>
      </c>
    </row>
    <row r="30" spans="2:8" x14ac:dyDescent="0.25">
      <c r="C30" s="4"/>
      <c r="D30" s="8">
        <v>5</v>
      </c>
      <c r="E30" s="8">
        <v>6</v>
      </c>
      <c r="F30" s="4"/>
      <c r="G30" s="7">
        <v>0.28366218546322625</v>
      </c>
      <c r="H30" s="7">
        <v>0.96017028665036597</v>
      </c>
    </row>
    <row r="31" spans="2:8" x14ac:dyDescent="0.25">
      <c r="B31" s="4"/>
      <c r="C31" s="4"/>
      <c r="E31" s="4"/>
      <c r="F31" s="4"/>
    </row>
    <row r="33" spans="2:9" x14ac:dyDescent="0.25">
      <c r="B33" s="39" t="s">
        <v>15</v>
      </c>
      <c r="C33" s="40"/>
      <c r="D33" s="41"/>
      <c r="F33" s="39" t="s">
        <v>16</v>
      </c>
      <c r="G33" s="40"/>
      <c r="H33" s="40"/>
      <c r="I33" s="41"/>
    </row>
    <row r="34" spans="2:9" ht="15.75" thickBot="1" x14ac:dyDescent="0.3">
      <c r="B34" s="54" t="s">
        <v>1</v>
      </c>
      <c r="C34" s="55"/>
      <c r="D34" s="3" t="s">
        <v>4</v>
      </c>
      <c r="F34" s="39" t="s">
        <v>1</v>
      </c>
      <c r="G34" s="41"/>
      <c r="H34" s="15" t="s">
        <v>2</v>
      </c>
      <c r="I34" s="2" t="s">
        <v>3</v>
      </c>
    </row>
    <row r="35" spans="2:9" x14ac:dyDescent="0.25">
      <c r="B35" s="11">
        <v>1</v>
      </c>
      <c r="C35" s="12">
        <v>2</v>
      </c>
      <c r="D35" s="56" cm="1">
        <f t="array" ref="D35">det2x2(B35:C36)</f>
        <v>-1</v>
      </c>
      <c r="F35" s="11">
        <v>1</v>
      </c>
      <c r="G35" s="16">
        <v>2</v>
      </c>
      <c r="H35" s="18">
        <v>3</v>
      </c>
      <c r="I35" s="58" cm="1">
        <f t="array" ref="I35:I36">Sol2x2(F35:G36,H35:H36)</f>
        <v>-3</v>
      </c>
    </row>
    <row r="36" spans="2:9" ht="15.75" thickBot="1" x14ac:dyDescent="0.3">
      <c r="B36" s="13">
        <v>3</v>
      </c>
      <c r="C36" s="14">
        <v>5</v>
      </c>
      <c r="D36" s="57"/>
      <c r="F36" s="13">
        <v>3</v>
      </c>
      <c r="G36" s="17">
        <v>5</v>
      </c>
      <c r="H36" s="19">
        <v>6</v>
      </c>
      <c r="I36" s="21">
        <v>3</v>
      </c>
    </row>
    <row r="37" spans="2:9" x14ac:dyDescent="0.25">
      <c r="B37" s="11">
        <v>3</v>
      </c>
      <c r="C37" s="12">
        <v>2</v>
      </c>
      <c r="D37" s="56" cm="1">
        <f t="array" ref="D37">det2x2(B37:C38)</f>
        <v>17</v>
      </c>
      <c r="F37" s="11">
        <v>3</v>
      </c>
      <c r="G37" s="16">
        <v>2</v>
      </c>
      <c r="H37" s="18">
        <v>3</v>
      </c>
      <c r="I37" s="20" cm="1">
        <f t="array" ref="I37:I38">Sol2x2(F37:G38,H37:H38)</f>
        <v>0.17647058823529413</v>
      </c>
    </row>
    <row r="38" spans="2:9" ht="15.75" thickBot="1" x14ac:dyDescent="0.3">
      <c r="B38" s="13">
        <v>-1</v>
      </c>
      <c r="C38" s="14">
        <v>5</v>
      </c>
      <c r="D38" s="57"/>
      <c r="F38" s="13">
        <v>-1</v>
      </c>
      <c r="G38" s="17">
        <v>5</v>
      </c>
      <c r="H38" s="19">
        <v>6</v>
      </c>
      <c r="I38" s="21">
        <v>1.2352941176470589</v>
      </c>
    </row>
    <row r="39" spans="2:9" x14ac:dyDescent="0.25">
      <c r="B39" s="11">
        <v>2</v>
      </c>
      <c r="C39" s="12">
        <v>2</v>
      </c>
      <c r="D39" s="56" cm="1">
        <f t="array" ref="D39">det2x2(B39:C40)</f>
        <v>0</v>
      </c>
      <c r="F39" s="11">
        <v>2</v>
      </c>
      <c r="G39" s="16">
        <v>2</v>
      </c>
      <c r="H39" s="18">
        <v>3</v>
      </c>
      <c r="I39" s="58" t="e" cm="1">
        <f t="array" ref="I39">Sol2x2(F39:G40,H39:H40)</f>
        <v>#VALUE!</v>
      </c>
    </row>
    <row r="40" spans="2:9" ht="15.75" thickBot="1" x14ac:dyDescent="0.3">
      <c r="B40" s="13">
        <v>3</v>
      </c>
      <c r="C40" s="14">
        <v>3</v>
      </c>
      <c r="D40" s="57"/>
      <c r="F40" s="13">
        <v>3</v>
      </c>
      <c r="G40" s="17">
        <v>3</v>
      </c>
      <c r="H40" s="19">
        <v>6</v>
      </c>
      <c r="I40" s="21"/>
    </row>
    <row r="41" spans="2:9" x14ac:dyDescent="0.25">
      <c r="B41" s="11">
        <v>-4</v>
      </c>
      <c r="C41" s="12">
        <v>5</v>
      </c>
      <c r="D41" s="56" cm="1">
        <f t="array" ref="D41">det2x2(B41:C42)</f>
        <v>-3</v>
      </c>
      <c r="F41" s="11">
        <v>-4</v>
      </c>
      <c r="G41" s="16">
        <v>5</v>
      </c>
      <c r="H41" s="18">
        <v>3</v>
      </c>
      <c r="I41" s="58" cm="1">
        <f t="array" ref="I41:I42">Sol2x2(F41:G42,H41:H42)</f>
        <v>3</v>
      </c>
    </row>
    <row r="42" spans="2:9" ht="15.75" thickBot="1" x14ac:dyDescent="0.3">
      <c r="B42" s="13">
        <v>-5</v>
      </c>
      <c r="C42" s="14">
        <v>7</v>
      </c>
      <c r="D42" s="57"/>
      <c r="F42" s="13">
        <v>-5</v>
      </c>
      <c r="G42" s="17">
        <v>7</v>
      </c>
      <c r="H42" s="19">
        <v>6</v>
      </c>
      <c r="I42" s="21">
        <v>3</v>
      </c>
    </row>
    <row r="43" spans="2:9" x14ac:dyDescent="0.25">
      <c r="B43" s="11">
        <v>1</v>
      </c>
      <c r="C43" s="12">
        <v>3</v>
      </c>
      <c r="D43" s="56" cm="1">
        <f t="array" ref="D43">det2x2(B43:C44)</f>
        <v>-2</v>
      </c>
      <c r="F43" s="11">
        <v>1</v>
      </c>
      <c r="G43" s="16">
        <v>3</v>
      </c>
      <c r="H43" s="18">
        <v>3</v>
      </c>
      <c r="I43" s="58" cm="1">
        <f t="array" ref="I43:I44">Sol2x2(F43:G44,H43:H44)</f>
        <v>3</v>
      </c>
    </row>
    <row r="44" spans="2:9" ht="15.75" thickBot="1" x14ac:dyDescent="0.3">
      <c r="B44" s="13">
        <v>2</v>
      </c>
      <c r="C44" s="14">
        <v>4</v>
      </c>
      <c r="D44" s="57"/>
      <c r="F44" s="13">
        <v>2</v>
      </c>
      <c r="G44" s="17">
        <v>4</v>
      </c>
      <c r="H44" s="19">
        <v>6</v>
      </c>
      <c r="I44" s="21">
        <v>0</v>
      </c>
    </row>
    <row r="46" spans="2:9" x14ac:dyDescent="0.25">
      <c r="B46" s="39" t="s">
        <v>17</v>
      </c>
      <c r="C46" s="40"/>
      <c r="D46" s="40"/>
      <c r="E46" s="40"/>
      <c r="F46" s="41"/>
    </row>
    <row r="47" spans="2:9" ht="15.75" thickBot="1" x14ac:dyDescent="0.3">
      <c r="B47" s="51" t="s">
        <v>0</v>
      </c>
      <c r="C47" s="52"/>
      <c r="D47" s="53"/>
      <c r="E47" s="54" t="s">
        <v>5</v>
      </c>
      <c r="F47" s="55"/>
    </row>
    <row r="48" spans="2:9" x14ac:dyDescent="0.25">
      <c r="B48" s="22">
        <v>1</v>
      </c>
      <c r="C48" s="23">
        <v>2</v>
      </c>
      <c r="D48" s="24">
        <v>3</v>
      </c>
      <c r="E48" s="42" cm="1">
        <f t="array" ref="E48">MedRange(B48:D51)</f>
        <v>6.5</v>
      </c>
      <c r="F48" s="43"/>
    </row>
    <row r="49" spans="2:6" x14ac:dyDescent="0.25">
      <c r="B49" s="25">
        <v>4</v>
      </c>
      <c r="C49" s="1">
        <v>5</v>
      </c>
      <c r="D49" s="26">
        <v>6</v>
      </c>
      <c r="E49" s="47"/>
      <c r="F49" s="48"/>
    </row>
    <row r="50" spans="2:6" x14ac:dyDescent="0.25">
      <c r="B50" s="25">
        <v>7</v>
      </c>
      <c r="C50" s="1">
        <v>8</v>
      </c>
      <c r="D50" s="26">
        <v>9</v>
      </c>
      <c r="E50" s="47"/>
      <c r="F50" s="48"/>
    </row>
    <row r="51" spans="2:6" ht="15.75" thickBot="1" x14ac:dyDescent="0.3">
      <c r="B51" s="32">
        <v>10</v>
      </c>
      <c r="C51" s="5">
        <v>11</v>
      </c>
      <c r="D51" s="33">
        <v>12</v>
      </c>
      <c r="E51" s="44"/>
      <c r="F51" s="45"/>
    </row>
    <row r="52" spans="2:6" ht="15.75" thickBot="1" x14ac:dyDescent="0.3">
      <c r="B52" s="35">
        <v>1</v>
      </c>
      <c r="C52" s="36">
        <v>2</v>
      </c>
      <c r="D52" s="37">
        <v>3</v>
      </c>
      <c r="E52" s="49" cm="1">
        <f t="array" ref="E52">MedRange(B52:D52)</f>
        <v>2</v>
      </c>
      <c r="F52" s="50"/>
    </row>
    <row r="53" spans="2:6" x14ac:dyDescent="0.25">
      <c r="B53" s="34">
        <v>1</v>
      </c>
      <c r="C53" s="31"/>
      <c r="D53" s="31"/>
      <c r="E53" s="42" cm="1">
        <f t="array" ref="E53">MedRange(B53:B56)</f>
        <v>2.5</v>
      </c>
      <c r="F53" s="43"/>
    </row>
    <row r="54" spans="2:6" x14ac:dyDescent="0.25">
      <c r="B54" s="30">
        <v>2</v>
      </c>
      <c r="C54" s="31"/>
      <c r="D54" s="31"/>
      <c r="E54" s="47"/>
      <c r="F54" s="48"/>
    </row>
    <row r="55" spans="2:6" x14ac:dyDescent="0.25">
      <c r="B55" s="30">
        <v>3</v>
      </c>
      <c r="C55" s="31"/>
      <c r="D55" s="31"/>
      <c r="E55" s="47"/>
      <c r="F55" s="48"/>
    </row>
    <row r="56" spans="2:6" ht="15.75" thickBot="1" x14ac:dyDescent="0.3">
      <c r="B56" s="38">
        <v>4</v>
      </c>
      <c r="C56" s="31"/>
      <c r="D56" s="31"/>
      <c r="E56" s="44"/>
      <c r="F56" s="45"/>
    </row>
    <row r="57" spans="2:6" x14ac:dyDescent="0.25">
      <c r="B57" s="22">
        <v>1</v>
      </c>
      <c r="C57" s="23">
        <v>2</v>
      </c>
      <c r="D57" s="24">
        <v>3</v>
      </c>
      <c r="E57" s="42" cm="1">
        <f t="array" ref="E57">MedRange(B57:D58)</f>
        <v>3.5</v>
      </c>
      <c r="F57" s="43"/>
    </row>
    <row r="58" spans="2:6" ht="15.75" thickBot="1" x14ac:dyDescent="0.3">
      <c r="B58" s="27">
        <v>4</v>
      </c>
      <c r="C58" s="28">
        <v>5</v>
      </c>
      <c r="D58" s="29">
        <v>6</v>
      </c>
      <c r="E58" s="44"/>
      <c r="F58" s="45"/>
    </row>
    <row r="62" spans="2:6" x14ac:dyDescent="0.25">
      <c r="D62" s="6"/>
    </row>
  </sheetData>
  <mergeCells count="17">
    <mergeCell ref="F34:G34"/>
    <mergeCell ref="B33:D33"/>
    <mergeCell ref="E57:F58"/>
    <mergeCell ref="B2:D2"/>
    <mergeCell ref="E48:F51"/>
    <mergeCell ref="E52:F52"/>
    <mergeCell ref="E53:F56"/>
    <mergeCell ref="B46:F46"/>
    <mergeCell ref="B47:D47"/>
    <mergeCell ref="E47:F47"/>
    <mergeCell ref="D35:D36"/>
    <mergeCell ref="D37:D38"/>
    <mergeCell ref="D39:D40"/>
    <mergeCell ref="D41:D42"/>
    <mergeCell ref="D43:D44"/>
    <mergeCell ref="F33:I33"/>
    <mergeCell ref="B34:C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Chamadas da funções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Lincoln Cesar Zamboni</dc:creator>
  <cp:lastModifiedBy>Erick Seiji</cp:lastModifiedBy>
  <dcterms:created xsi:type="dcterms:W3CDTF">2015-06-23T11:44:46Z</dcterms:created>
  <dcterms:modified xsi:type="dcterms:W3CDTF">2020-11-03T15:57:22Z</dcterms:modified>
</cp:coreProperties>
</file>