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rick\Desktop\jogos\IMT\ANO 2\Excel-VBA\"/>
    </mc:Choice>
  </mc:AlternateContent>
  <xr:revisionPtr revIDLastSave="0" documentId="8_{2B6D3DB4-C429-45EB-A90E-175C832FE0EC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Carregue os suplementos" sheetId="3" r:id="rId1"/>
    <sheet name="MatrixL" sheetId="1" r:id="rId2"/>
    <sheet name="xnumbers" sheetId="2" r:id="rId3"/>
  </sheets>
  <externalReferences>
    <externalReference r:id="rId4"/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6" i="2" l="1"/>
  <c r="C137" i="2"/>
  <c r="C138" i="2"/>
  <c r="C139" i="2"/>
  <c r="C140" i="2"/>
  <c r="C141" i="2"/>
  <c r="C142" i="2"/>
  <c r="C135" i="2"/>
  <c r="B165" i="2" a="1"/>
  <c r="B164" i="2" a="1"/>
  <c r="F150" i="2" a="1"/>
  <c r="F154" i="2" a="1"/>
  <c r="F156" i="2" a="1"/>
  <c r="F151" i="2" a="1"/>
  <c r="F155" i="2" a="1"/>
  <c r="F152" i="2" a="1"/>
  <c r="F149" i="2" a="1"/>
  <c r="F153" i="2" a="1"/>
  <c r="F148" i="2" a="1"/>
  <c r="H136" i="2" a="1"/>
  <c r="H135" i="2" a="1"/>
  <c r="E126" i="2" a="1"/>
  <c r="E128" i="2" a="1"/>
  <c r="E127" i="2" a="1"/>
  <c r="E125" i="2" a="1"/>
  <c r="E124" i="2" a="1"/>
  <c r="E123" i="2" a="1"/>
  <c r="B165" i="2" l="1"/>
  <c r="B164" i="2"/>
  <c r="F153" i="2"/>
  <c r="F149" i="2"/>
  <c r="F152" i="2"/>
  <c r="F155" i="2"/>
  <c r="F151" i="2"/>
  <c r="F156" i="2"/>
  <c r="F154" i="2"/>
  <c r="F150" i="2"/>
  <c r="F148" i="2"/>
  <c r="H136" i="2"/>
  <c r="H135" i="2"/>
  <c r="E127" i="2"/>
  <c r="E128" i="2"/>
  <c r="E126" i="2"/>
  <c r="E125" i="2"/>
  <c r="E124" i="2"/>
  <c r="F124" i="2"/>
  <c r="G124" i="2"/>
  <c r="E123" i="2"/>
  <c r="B166" i="2" a="1"/>
  <c r="C112" i="2" a="1"/>
  <c r="C114" i="2" a="1"/>
  <c r="C113" i="2" a="1"/>
  <c r="C116" i="2" a="1"/>
  <c r="C115" i="2" a="1"/>
  <c r="C111" i="2" a="1"/>
  <c r="B166" i="2" l="1"/>
  <c r="C115" i="2"/>
  <c r="C116" i="2"/>
  <c r="C113" i="2"/>
  <c r="C114" i="2"/>
  <c r="C112" i="2"/>
  <c r="C111" i="2"/>
  <c r="E134" i="1"/>
  <c r="F134" i="1"/>
  <c r="G134" i="1"/>
  <c r="H134" i="1"/>
  <c r="E135" i="1"/>
  <c r="F135" i="1"/>
  <c r="G135" i="1"/>
  <c r="H135" i="1"/>
  <c r="E136" i="1"/>
  <c r="F136" i="1"/>
  <c r="G136" i="1"/>
  <c r="H136" i="1"/>
  <c r="F133" i="1"/>
  <c r="G133" i="1"/>
  <c r="H133" i="1"/>
  <c r="E133" i="1"/>
  <c r="D133" i="1"/>
  <c r="D134" i="1"/>
  <c r="D135" i="1"/>
  <c r="D136" i="1"/>
  <c r="A134" i="1"/>
  <c r="B134" i="1"/>
  <c r="C134" i="1"/>
  <c r="A135" i="1"/>
  <c r="B135" i="1"/>
  <c r="C135" i="1"/>
  <c r="A136" i="1"/>
  <c r="B136" i="1"/>
  <c r="C136" i="1"/>
  <c r="B133" i="1"/>
  <c r="C133" i="1"/>
  <c r="A133" i="1"/>
  <c r="C114" i="1"/>
  <c r="C113" i="1"/>
  <c r="C112" i="1"/>
  <c r="C111" i="1"/>
  <c r="C108" i="1"/>
  <c r="C107" i="1"/>
  <c r="C106" i="1"/>
  <c r="C105" i="1"/>
  <c r="C104" i="1"/>
  <c r="C103" i="1"/>
  <c r="B101" i="1"/>
  <c r="C110" i="1" s="1"/>
  <c r="B167" i="2" a="1"/>
  <c r="C96" i="2" a="1"/>
  <c r="B86" i="2" a="1"/>
  <c r="B87" i="2" a="1"/>
  <c r="B85" i="2" a="1"/>
  <c r="B88" i="2" a="1"/>
  <c r="B84" i="2" a="1"/>
  <c r="B72" i="2" a="1"/>
  <c r="B80" i="2" a="1"/>
  <c r="B73" i="2" a="1"/>
  <c r="B77" i="2" a="1"/>
  <c r="B81" i="2" a="1"/>
  <c r="B78" i="2" a="1"/>
  <c r="B79" i="2" a="1"/>
  <c r="B74" i="2" a="1"/>
  <c r="B75" i="2" a="1"/>
  <c r="B76" i="2" a="1"/>
  <c r="B71" i="2" a="1"/>
  <c r="B59" i="2" a="1"/>
  <c r="B63" i="2" a="1"/>
  <c r="B67" i="2" a="1"/>
  <c r="B60" i="2" a="1"/>
  <c r="B64" i="2" a="1"/>
  <c r="B68" i="2" a="1"/>
  <c r="B61" i="2" a="1"/>
  <c r="B66" i="2" a="1"/>
  <c r="B65" i="2" a="1"/>
  <c r="B62" i="2" a="1"/>
  <c r="B58" i="2" a="1"/>
  <c r="B50" i="2" a="1"/>
  <c r="B52" i="2" a="1"/>
  <c r="B51" i="2" a="1"/>
  <c r="B49" i="2" a="1"/>
  <c r="B48" i="2" a="1"/>
  <c r="B36" i="2" a="1"/>
  <c r="B40" i="2" a="1"/>
  <c r="B44" i="2" a="1"/>
  <c r="B45" i="2" a="1"/>
  <c r="B37" i="2" a="1"/>
  <c r="B41" i="2" a="1"/>
  <c r="B42" i="2" a="1"/>
  <c r="B43" i="2" a="1"/>
  <c r="B38" i="2" a="1"/>
  <c r="B39" i="2" a="1"/>
  <c r="B35" i="2" a="1"/>
  <c r="B23" i="2" a="1"/>
  <c r="B27" i="2" a="1"/>
  <c r="B31" i="2" a="1"/>
  <c r="B32" i="2" a="1"/>
  <c r="B29" i="2" a="1"/>
  <c r="B26" i="2" a="1"/>
  <c r="B24" i="2" a="1"/>
  <c r="B28" i="2" a="1"/>
  <c r="B25" i="2" a="1"/>
  <c r="B30" i="2" a="1"/>
  <c r="B22" i="2" a="1"/>
  <c r="B6" i="2" a="1"/>
  <c r="B10" i="2" a="1"/>
  <c r="B14" i="2" a="1"/>
  <c r="B11" i="2" a="1"/>
  <c r="B15" i="2" a="1"/>
  <c r="B16" i="2" a="1"/>
  <c r="B13" i="2" a="1"/>
  <c r="B7" i="2" a="1"/>
  <c r="B9" i="2" a="1"/>
  <c r="B12" i="2" a="1"/>
  <c r="B8" i="2" a="1"/>
  <c r="B5" i="2" a="1"/>
  <c r="C152" i="1" a="1"/>
  <c r="C148" i="1" a="1"/>
  <c r="C144" i="1" a="1"/>
  <c r="C140" i="1" a="1"/>
  <c r="F122" i="1" a="1"/>
  <c r="A85" i="1" a="1"/>
  <c r="A46" i="1" a="1"/>
  <c r="B167" i="2" l="1"/>
  <c r="E102" i="2"/>
  <c r="E103" i="2"/>
  <c r="E104" i="2"/>
  <c r="E97" i="2"/>
  <c r="E98" i="2"/>
  <c r="E99" i="2"/>
  <c r="E101" i="2"/>
  <c r="E100" i="2"/>
  <c r="C96" i="2"/>
  <c r="E96" i="2" s="1"/>
  <c r="B88" i="2"/>
  <c r="B85" i="2"/>
  <c r="B87" i="2"/>
  <c r="B86" i="2"/>
  <c r="B84" i="2"/>
  <c r="B76" i="2"/>
  <c r="B75" i="2"/>
  <c r="B74" i="2"/>
  <c r="B79" i="2"/>
  <c r="B78" i="2"/>
  <c r="B81" i="2"/>
  <c r="B77" i="2"/>
  <c r="B73" i="2"/>
  <c r="B80" i="2"/>
  <c r="B72" i="2"/>
  <c r="B71" i="2"/>
  <c r="B62" i="2"/>
  <c r="B65" i="2"/>
  <c r="B66" i="2"/>
  <c r="B61" i="2"/>
  <c r="B68" i="2"/>
  <c r="B64" i="2"/>
  <c r="B60" i="2"/>
  <c r="B67" i="2"/>
  <c r="B63" i="2"/>
  <c r="B59" i="2"/>
  <c r="B58" i="2"/>
  <c r="B49" i="2"/>
  <c r="B51" i="2"/>
  <c r="B52" i="2"/>
  <c r="B50" i="2"/>
  <c r="B48" i="2"/>
  <c r="B39" i="2"/>
  <c r="B38" i="2"/>
  <c r="B43" i="2"/>
  <c r="B42" i="2"/>
  <c r="B41" i="2"/>
  <c r="B37" i="2"/>
  <c r="B45" i="2"/>
  <c r="B44" i="2"/>
  <c r="B40" i="2"/>
  <c r="B36" i="2"/>
  <c r="B35" i="2"/>
  <c r="B30" i="2"/>
  <c r="B25" i="2"/>
  <c r="B28" i="2"/>
  <c r="B24" i="2"/>
  <c r="B26" i="2"/>
  <c r="B29" i="2"/>
  <c r="B32" i="2"/>
  <c r="B31" i="2"/>
  <c r="B27" i="2"/>
  <c r="B23" i="2"/>
  <c r="B22" i="2"/>
  <c r="B8" i="2"/>
  <c r="B12" i="2"/>
  <c r="B9" i="2"/>
  <c r="B7" i="2"/>
  <c r="B13" i="2"/>
  <c r="B16" i="2"/>
  <c r="B15" i="2"/>
  <c r="B11" i="2"/>
  <c r="B14" i="2"/>
  <c r="B10" i="2"/>
  <c r="B6" i="2"/>
  <c r="B5" i="2"/>
  <c r="D155" i="1"/>
  <c r="C155" i="1"/>
  <c r="E155" i="1" s="1"/>
  <c r="D154" i="1"/>
  <c r="C154" i="1"/>
  <c r="D153" i="1"/>
  <c r="C153" i="1"/>
  <c r="E153" i="1" s="1"/>
  <c r="D152" i="1"/>
  <c r="C152" i="1"/>
  <c r="E152" i="1" s="1"/>
  <c r="C151" i="1"/>
  <c r="C150" i="1"/>
  <c r="D149" i="1"/>
  <c r="C149" i="1"/>
  <c r="D148" i="1"/>
  <c r="C148" i="1"/>
  <c r="E148" i="1" s="1"/>
  <c r="D151" i="1"/>
  <c r="E151" i="1" s="1"/>
  <c r="D150" i="1"/>
  <c r="E150" i="1" s="1"/>
  <c r="D146" i="1"/>
  <c r="C146" i="1"/>
  <c r="D145" i="1"/>
  <c r="C145" i="1"/>
  <c r="D144" i="1"/>
  <c r="C144" i="1"/>
  <c r="D147" i="1"/>
  <c r="C147" i="1"/>
  <c r="C140" i="1"/>
  <c r="C141" i="1"/>
  <c r="E141" i="1" s="1"/>
  <c r="D141" i="1"/>
  <c r="C142" i="1"/>
  <c r="E142" i="1" s="1"/>
  <c r="C143" i="1"/>
  <c r="E143" i="1" s="1"/>
  <c r="D143" i="1"/>
  <c r="D140" i="1"/>
  <c r="D142" i="1"/>
  <c r="E149" i="1"/>
  <c r="E145" i="1"/>
  <c r="E144" i="1"/>
  <c r="C115" i="1"/>
  <c r="C109" i="1"/>
  <c r="F122" i="1"/>
  <c r="C85" i="1"/>
  <c r="E86" i="1"/>
  <c r="D85" i="1"/>
  <c r="F86" i="1"/>
  <c r="F85" i="1"/>
  <c r="A86" i="1"/>
  <c r="D87" i="1"/>
  <c r="A85" i="1"/>
  <c r="E87" i="1"/>
  <c r="F87" i="1"/>
  <c r="E85" i="1"/>
  <c r="A87" i="1"/>
  <c r="B87" i="1"/>
  <c r="C87" i="1"/>
  <c r="B86" i="1"/>
  <c r="C86" i="1"/>
  <c r="B85" i="1"/>
  <c r="D86" i="1"/>
  <c r="D48" i="1"/>
  <c r="A48" i="1"/>
  <c r="D47" i="1"/>
  <c r="C47" i="1"/>
  <c r="B47" i="1"/>
  <c r="A47" i="1"/>
  <c r="D46" i="1"/>
  <c r="C48" i="1"/>
  <c r="C46" i="1"/>
  <c r="B46" i="1"/>
  <c r="B48" i="1"/>
  <c r="A46" i="1"/>
  <c r="L2" i="1" a="1"/>
  <c r="L2" i="1" s="1"/>
  <c r="B168" i="2" a="1"/>
  <c r="A50" i="1" a="1"/>
  <c r="E33" i="1" a="1"/>
  <c r="H24" i="1" a="1"/>
  <c r="E15" i="1" a="1"/>
  <c r="G6" i="1" a="1"/>
  <c r="B168" i="2" l="1"/>
  <c r="E154" i="1"/>
  <c r="E140" i="1"/>
  <c r="E147" i="1"/>
  <c r="E146" i="1"/>
  <c r="A52" i="1"/>
  <c r="C52" i="1"/>
  <c r="A50" i="1"/>
  <c r="C50" i="1"/>
  <c r="D51" i="1"/>
  <c r="B52" i="1"/>
  <c r="C51" i="1"/>
  <c r="B50" i="1"/>
  <c r="B51" i="1"/>
  <c r="A51" i="1"/>
  <c r="D52" i="1"/>
  <c r="D50" i="1"/>
  <c r="G33" i="1"/>
  <c r="F34" i="1"/>
  <c r="E35" i="1"/>
  <c r="E33" i="1"/>
  <c r="F33" i="1"/>
  <c r="E34" i="1"/>
  <c r="G34" i="1"/>
  <c r="F35" i="1"/>
  <c r="G35" i="1"/>
  <c r="I24" i="1"/>
  <c r="I25" i="1"/>
  <c r="H25" i="1"/>
  <c r="H24" i="1"/>
  <c r="E15" i="1"/>
  <c r="G6" i="1"/>
  <c r="B169" i="2" a="1"/>
  <c r="A54" i="1" a="1"/>
  <c r="B169" i="2" l="1"/>
  <c r="A56" i="1"/>
  <c r="C55" i="1"/>
  <c r="B55" i="1"/>
  <c r="A55" i="1"/>
  <c r="D55" i="1"/>
  <c r="B54" i="1"/>
  <c r="A54" i="1"/>
  <c r="D54" i="1"/>
  <c r="C56" i="1"/>
  <c r="C54" i="1"/>
  <c r="B56" i="1"/>
  <c r="D56" i="1"/>
  <c r="B170" i="2" a="1"/>
  <c r="A58" i="1" a="1"/>
  <c r="B170" i="2" l="1"/>
  <c r="A60" i="1"/>
  <c r="D60" i="1"/>
  <c r="D59" i="1"/>
  <c r="C58" i="1"/>
  <c r="D58" i="1"/>
  <c r="C59" i="1"/>
  <c r="B58" i="1"/>
  <c r="B59" i="1"/>
  <c r="B60" i="1"/>
  <c r="A58" i="1"/>
  <c r="A59" i="1"/>
  <c r="C60" i="1"/>
  <c r="B171" i="2" a="1"/>
  <c r="A62" i="1" a="1"/>
  <c r="B171" i="2" l="1"/>
  <c r="D63" i="1"/>
  <c r="B64" i="1"/>
  <c r="A64" i="1"/>
  <c r="C63" i="1"/>
  <c r="B63" i="1"/>
  <c r="C62" i="1"/>
  <c r="A62" i="1"/>
  <c r="A63" i="1"/>
  <c r="D62" i="1"/>
  <c r="D64" i="1"/>
  <c r="C64" i="1"/>
  <c r="B62" i="1"/>
  <c r="B172" i="2" a="1"/>
  <c r="A66" i="1" a="1"/>
  <c r="B172" i="2" l="1"/>
  <c r="C66" i="1"/>
  <c r="D68" i="1"/>
  <c r="B68" i="1"/>
  <c r="D66" i="1"/>
  <c r="A68" i="1"/>
  <c r="B66" i="1"/>
  <c r="D67" i="1"/>
  <c r="A66" i="1"/>
  <c r="A67" i="1"/>
  <c r="C68" i="1"/>
  <c r="C67" i="1"/>
  <c r="B67" i="1"/>
  <c r="B173" i="2" a="1"/>
  <c r="A70" i="1" a="1"/>
  <c r="B173" i="2" l="1"/>
  <c r="D71" i="1"/>
  <c r="A70" i="1"/>
  <c r="C71" i="1"/>
  <c r="C70" i="1"/>
  <c r="B71" i="1"/>
  <c r="B72" i="1"/>
  <c r="A72" i="1"/>
  <c r="A71" i="1"/>
  <c r="B70" i="1"/>
  <c r="D72" i="1"/>
  <c r="C72" i="1"/>
  <c r="D70" i="1"/>
  <c r="B174" i="2" a="1"/>
  <c r="A90" i="1" a="1"/>
  <c r="B174" i="2" l="1"/>
  <c r="A91" i="1"/>
  <c r="C91" i="1"/>
  <c r="A90" i="1"/>
  <c r="B92" i="1"/>
  <c r="C92" i="1"/>
  <c r="A92" i="1"/>
  <c r="C90" i="1"/>
  <c r="B91" i="1"/>
  <c r="B90" i="1"/>
  <c r="B175" i="2" a="1"/>
  <c r="B175" i="2" l="1"/>
  <c r="B176" i="2" a="1"/>
  <c r="B176" i="2" l="1"/>
  <c r="B177" i="2" a="1"/>
  <c r="B177" i="2" l="1"/>
  <c r="B178" i="2" a="1"/>
  <c r="B178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<sst xmlns="http://schemas.openxmlformats.org/spreadsheetml/2006/main" count="167" uniqueCount="141">
  <si>
    <t>A</t>
  </si>
  <si>
    <t>b</t>
  </si>
  <si>
    <t>x</t>
  </si>
  <si>
    <t>Exercício 01 : Sistema Linear</t>
  </si>
  <si>
    <r>
      <t xml:space="preserve">A </t>
    </r>
    <r>
      <rPr>
        <b/>
        <sz val="11"/>
        <color theme="1"/>
        <rFont val="Calibri"/>
        <family val="2"/>
      </rPr>
      <t xml:space="preserve">· </t>
    </r>
    <r>
      <rPr>
        <b/>
        <sz val="11"/>
        <color theme="1"/>
        <rFont val="Calibri"/>
        <family val="2"/>
        <scheme val="minor"/>
      </rPr>
      <t xml:space="preserve">x = b </t>
    </r>
    <r>
      <rPr>
        <b/>
        <sz val="11"/>
        <color theme="1"/>
        <rFont val="Cambria"/>
        <family val="1"/>
      </rPr>
      <t>⇒</t>
    </r>
    <r>
      <rPr>
        <b/>
        <sz val="11"/>
        <color theme="1"/>
        <rFont val="Calibri"/>
        <family val="2"/>
        <scheme val="minor"/>
      </rPr>
      <t xml:space="preserve"> x = A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· b</t>
    </r>
  </si>
  <si>
    <t>|A|</t>
  </si>
  <si>
    <t>Exercício 02: Determinante</t>
  </si>
  <si>
    <r>
      <t>A</t>
    </r>
    <r>
      <rPr>
        <b/>
        <vertAlign val="superscript"/>
        <sz val="11"/>
        <color theme="1"/>
        <rFont val="Calibri"/>
        <family val="2"/>
        <scheme val="minor"/>
      </rPr>
      <t>n</t>
    </r>
  </si>
  <si>
    <r>
      <t>A</t>
    </r>
    <r>
      <rPr>
        <b/>
        <vertAlign val="superscript"/>
        <sz val="11"/>
        <color theme="1"/>
        <rFont val="Calibri"/>
        <family val="2"/>
        <scheme val="minor"/>
      </rPr>
      <t>5</t>
    </r>
  </si>
  <si>
    <t>Exercício 04: Potência de Matriz</t>
  </si>
  <si>
    <t>Exercício 03: Multiplicação de Matrizes</t>
  </si>
  <si>
    <r>
      <t xml:space="preserve">C = A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B</t>
    </r>
  </si>
  <si>
    <t>B</t>
  </si>
  <si>
    <t>C</t>
  </si>
  <si>
    <t>Exercício 05: Gauss-Jordan passo a passo</t>
  </si>
  <si>
    <r>
      <t xml:space="preserve">A </t>
    </r>
    <r>
      <rPr>
        <b/>
        <sz val="11"/>
        <color theme="1"/>
        <rFont val="Calibri"/>
        <family val="2"/>
      </rPr>
      <t xml:space="preserve">· </t>
    </r>
    <r>
      <rPr>
        <b/>
        <sz val="11"/>
        <color theme="1"/>
        <rFont val="Calibri"/>
        <family val="2"/>
        <scheme val="minor"/>
      </rPr>
      <t xml:space="preserve">x = b </t>
    </r>
    <r>
      <rPr>
        <b/>
        <sz val="11"/>
        <color theme="1"/>
        <rFont val="Cambria"/>
        <family val="1"/>
      </rPr>
      <t>⇒</t>
    </r>
    <r>
      <rPr>
        <b/>
        <sz val="11"/>
        <color theme="1"/>
        <rFont val="Calibri"/>
        <family val="2"/>
        <scheme val="minor"/>
      </rPr>
      <t xml:space="preserve"> A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· x = b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 ⇒ A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· x = b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 ⇒ ...</t>
    </r>
  </si>
  <si>
    <t>Exercício 06: Decomposição LU</t>
  </si>
  <si>
    <r>
      <t xml:space="preserve">A = L </t>
    </r>
    <r>
      <rPr>
        <b/>
        <sz val="11"/>
        <color theme="1"/>
        <rFont val="Calibri"/>
        <family val="2"/>
      </rPr>
      <t>· U (Lower-Upper)</t>
    </r>
  </si>
  <si>
    <t>L</t>
  </si>
  <si>
    <t>U</t>
  </si>
  <si>
    <r>
      <t xml:space="preserve">L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U</t>
    </r>
  </si>
  <si>
    <t>4+3j</t>
  </si>
  <si>
    <t>2-4j</t>
  </si>
  <si>
    <t>4+5j</t>
  </si>
  <si>
    <t>5-4j</t>
  </si>
  <si>
    <t>1+2j</t>
  </si>
  <si>
    <t>2-j</t>
  </si>
  <si>
    <t>-2+4j</t>
  </si>
  <si>
    <t>4+2j</t>
  </si>
  <si>
    <t>2+6j</t>
  </si>
  <si>
    <t>3-3j</t>
  </si>
  <si>
    <t>-3-3j</t>
  </si>
  <si>
    <t>1-3j</t>
  </si>
  <si>
    <r>
      <t xml:space="preserve">A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x = 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 xml:space="preserve"> · x</t>
    </r>
  </si>
  <si>
    <r>
      <rPr>
        <b/>
        <sz val="11"/>
        <color theme="1"/>
        <rFont val="Calibri"/>
        <family val="2"/>
      </rPr>
      <t>λ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</si>
  <si>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rPr>
        <b/>
        <sz val="11"/>
        <color theme="1"/>
        <rFont val="Calibri"/>
        <family val="2"/>
      </rPr>
      <t>λ</t>
    </r>
    <r>
      <rPr>
        <b/>
        <vertAlign val="subscript"/>
        <sz val="11"/>
        <color theme="1"/>
        <rFont val="Calibri"/>
        <family val="2"/>
        <scheme val="minor"/>
      </rPr>
      <t>im</t>
    </r>
  </si>
  <si>
    <t>-2+2j</t>
  </si>
  <si>
    <t>Exercício 07: Números Complexos no Excel</t>
  </si>
  <si>
    <t>x =</t>
  </si>
  <si>
    <t>y =</t>
  </si>
  <si>
    <t>z =</t>
  </si>
  <si>
    <t>x + y =</t>
  </si>
  <si>
    <t>x - y =</t>
  </si>
  <si>
    <t>x * y =</t>
  </si>
  <si>
    <t>x / y =</t>
  </si>
  <si>
    <t>ln x =</t>
  </si>
  <si>
    <t>log y =</t>
  </si>
  <si>
    <t>lg z =</t>
  </si>
  <si>
    <r>
      <t>e</t>
    </r>
    <r>
      <rPr>
        <b/>
        <vertAlign val="superscript"/>
        <sz val="11"/>
        <color theme="1"/>
        <rFont val="Calibri"/>
        <family val="2"/>
        <scheme val="minor"/>
      </rPr>
      <t>z</t>
    </r>
    <r>
      <rPr>
        <b/>
        <sz val="11"/>
        <color theme="1"/>
        <rFont val="Calibri"/>
        <family val="2"/>
        <scheme val="minor"/>
      </rPr>
      <t xml:space="preserve"> =</t>
    </r>
  </si>
  <si>
    <t>sen z =</t>
  </si>
  <si>
    <t>cos z =</t>
  </si>
  <si>
    <t>conj x =</t>
  </si>
  <si>
    <t>|z| =</t>
  </si>
  <si>
    <r>
      <t>z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=</t>
    </r>
  </si>
  <si>
    <t>Aritméticas</t>
  </si>
  <si>
    <t>Outras</t>
  </si>
  <si>
    <t>2</t>
  </si>
  <si>
    <r>
      <t xml:space="preserve">Exercício 08: Autovalores </t>
    </r>
    <r>
      <rPr>
        <b/>
        <sz val="11"/>
        <color theme="1"/>
        <rFont val="Calibri"/>
        <family val="2"/>
      </rPr>
      <t>λ</t>
    </r>
  </si>
  <si>
    <r>
      <rPr>
        <b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</si>
  <si>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rPr>
        <b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im</t>
    </r>
  </si>
  <si>
    <t>Autovalores</t>
  </si>
  <si>
    <t>Autovetores</t>
  </si>
  <si>
    <r>
      <rPr>
        <b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</rPr>
      <t>re</t>
    </r>
    <r>
      <rPr>
        <b/>
        <sz val="11"/>
        <color theme="1"/>
        <rFont val="Calibri"/>
        <family val="2"/>
      </rPr>
      <t xml:space="preserve"> + x</t>
    </r>
    <r>
      <rPr>
        <b/>
        <vertAlign val="subscript"/>
        <sz val="11"/>
        <color theme="1"/>
        <rFont val="Calibri"/>
        <family val="2"/>
        <scheme val="minor"/>
      </rPr>
      <t>im</t>
    </r>
    <r>
      <rPr>
        <b/>
        <sz val="11"/>
        <color theme="1"/>
        <rFont val="Calibri"/>
        <family val="2"/>
        <scheme val="minor"/>
      </rPr>
      <t>j</t>
    </r>
  </si>
  <si>
    <r>
      <t xml:space="preserve">Exercício 09: </t>
    </r>
    <r>
      <rPr>
        <b/>
        <sz val="11"/>
        <color theme="1"/>
        <rFont val="Calibri"/>
        <family val="2"/>
      </rPr>
      <t>Autovetores x associados aos autovalores λ</t>
    </r>
  </si>
  <si>
    <t>Exercício 01 : Fatorial</t>
  </si>
  <si>
    <t>n</t>
  </si>
  <si>
    <t>xfact(n)</t>
  </si>
  <si>
    <t>Exercício 02 : Funções Trigonométricas</t>
  </si>
  <si>
    <t>xsin(x)</t>
  </si>
  <si>
    <t>xcos(x)</t>
  </si>
  <si>
    <t>x (rad)</t>
  </si>
  <si>
    <t>casas</t>
  </si>
  <si>
    <t>π = xpi(casas)</t>
  </si>
  <si>
    <t>Exercício 03 : Funções Exponenciais e Logarítmicas</t>
  </si>
  <si>
    <t>xLn(x)</t>
  </si>
  <si>
    <t>xexp(x)</t>
  </si>
  <si>
    <t>e = xe(casas)</t>
  </si>
  <si>
    <t>Exercício 04 : Raízes de um Polinômio</t>
  </si>
  <si>
    <r>
      <t>p(x) = a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+ a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</rPr>
      <t>·x + a</t>
    </r>
    <r>
      <rPr>
        <b/>
        <vertAlign val="sub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>·x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 xml:space="preserve"> + a</t>
    </r>
    <r>
      <rPr>
        <b/>
        <vertAlign val="subscript"/>
        <sz val="11"/>
        <color theme="1"/>
        <rFont val="Calibri"/>
        <family val="2"/>
      </rPr>
      <t>3</t>
    </r>
    <r>
      <rPr>
        <b/>
        <sz val="11"/>
        <color theme="1"/>
        <rFont val="Calibri"/>
        <family val="2"/>
      </rPr>
      <t>·x</t>
    </r>
    <r>
      <rPr>
        <b/>
        <vertAlign val="superscript"/>
        <sz val="11"/>
        <color theme="1"/>
        <rFont val="Calibri"/>
        <family val="2"/>
      </rPr>
      <t>3</t>
    </r>
    <r>
      <rPr>
        <b/>
        <sz val="11"/>
        <color theme="1"/>
        <rFont val="Calibri"/>
        <family val="2"/>
      </rPr>
      <t xml:space="preserve"> + ... + a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·x</t>
    </r>
    <r>
      <rPr>
        <b/>
        <vertAlign val="superscript"/>
        <sz val="11"/>
        <color theme="1"/>
        <rFont val="Calibri"/>
        <family val="2"/>
      </rPr>
      <t>n</t>
    </r>
  </si>
  <si>
    <t>a</t>
  </si>
  <si>
    <r>
      <t>a</t>
    </r>
    <r>
      <rPr>
        <vertAlign val="subscript"/>
        <sz val="11"/>
        <color theme="1"/>
        <rFont val="Calibri"/>
        <family val="2"/>
        <scheme val="minor"/>
      </rPr>
      <t>k</t>
    </r>
  </si>
  <si>
    <t>k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</si>
  <si>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</si>
  <si>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im</t>
    </r>
  </si>
  <si>
    <t>raiz x</t>
  </si>
  <si>
    <r>
      <t>x = x</t>
    </r>
    <r>
      <rPr>
        <b/>
        <vertAlign val="subscript"/>
        <sz val="11"/>
        <color theme="1"/>
        <rFont val="Calibri"/>
        <family val="2"/>
        <scheme val="minor"/>
      </rPr>
      <t xml:space="preserve">re </t>
    </r>
    <r>
      <rPr>
        <b/>
        <sz val="11"/>
        <color theme="1"/>
        <rFont val="Calibri"/>
        <family val="2"/>
        <scheme val="minor"/>
      </rPr>
      <t>+ x</t>
    </r>
    <r>
      <rPr>
        <b/>
        <vertAlign val="subscript"/>
        <sz val="11"/>
        <color theme="1"/>
        <rFont val="Calibri"/>
        <family val="2"/>
        <scheme val="minor"/>
      </rPr>
      <t>im</t>
    </r>
    <r>
      <rPr>
        <b/>
        <sz val="11"/>
        <color theme="1"/>
        <rFont val="Calibri"/>
        <family val="2"/>
        <scheme val="minor"/>
      </rPr>
      <t>j</t>
    </r>
  </si>
  <si>
    <t>Exercício 05 : Números Primos</t>
  </si>
  <si>
    <t>Prime(n)</t>
  </si>
  <si>
    <t>y</t>
  </si>
  <si>
    <t>Exercício 06 : Integração Numérica - Romberg</t>
  </si>
  <si>
    <t>f(x)</t>
  </si>
  <si>
    <t>x * cos(x)</t>
  </si>
  <si>
    <t>x ^ 3</t>
  </si>
  <si>
    <t>exp(x)</t>
  </si>
  <si>
    <t>sin(x)</t>
  </si>
  <si>
    <t>2 * x ^ 2</t>
  </si>
  <si>
    <t>sqr(x)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</si>
  <si>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</si>
  <si>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y' = -2 * x * y</t>
  </si>
  <si>
    <t>h</t>
  </si>
  <si>
    <t>EDO</t>
  </si>
  <si>
    <t>Xnumbers_tutorial1, p. 39, xfact</t>
  </si>
  <si>
    <t>Xnumbers_tutorial1, p. 65, xsin, xcos, xpi etc.</t>
  </si>
  <si>
    <t>Xnumbers_tutorial1, p. 62, xLn, xexp, xE</t>
  </si>
  <si>
    <t>Exercício 07 : Integração Numérica - Trapézio, Simpson etc.</t>
  </si>
  <si>
    <t>Exercício 08 : Interpolação com Splines Cúbicos</t>
  </si>
  <si>
    <r>
      <t>Exercício 09 : Equações Diferenciais Ordinárias com Runge-Kutta de 4</t>
    </r>
    <r>
      <rPr>
        <b/>
        <vertAlign val="super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Ordem</t>
    </r>
  </si>
  <si>
    <t>grau</t>
  </si>
  <si>
    <t>fórmula</t>
  </si>
  <si>
    <t>Simpson</t>
  </si>
  <si>
    <r>
      <t>y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= f(x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>)</t>
    </r>
  </si>
  <si>
    <t>Xnumbers_tutorial1, p. 113, Prime</t>
  </si>
  <si>
    <t>MatrixTutorial1, p. 8, SysLin</t>
  </si>
  <si>
    <t>MatrixTutorial1, p. 19, M_DET</t>
  </si>
  <si>
    <t>MatrixTutorial1, p. 23, M_PROD</t>
  </si>
  <si>
    <t>MatrixTutorial1, p. 22, M_POW</t>
  </si>
  <si>
    <t>MatrixTutorial1, p. 50, GJ_step</t>
  </si>
  <si>
    <t>MatrixTutorial1, p. 62, Mat_LU</t>
  </si>
  <si>
    <t xml:space="preserve">MatrixTutorial1, p. 35,  MatEigenvalQRC </t>
  </si>
  <si>
    <r>
      <t>A = A</t>
    </r>
    <r>
      <rPr>
        <b/>
        <vertAlign val="subscript"/>
        <sz val="11"/>
        <color theme="1"/>
        <rFont val="Calibri"/>
        <family val="2"/>
        <scheme val="minor"/>
      </rPr>
      <t>re</t>
    </r>
    <r>
      <rPr>
        <b/>
        <sz val="11"/>
        <color theme="1"/>
        <rFont val="Calibri"/>
        <family val="2"/>
        <scheme val="minor"/>
      </rPr>
      <t xml:space="preserve"> + A</t>
    </r>
    <r>
      <rPr>
        <b/>
        <vertAlign val="subscript"/>
        <sz val="11"/>
        <color theme="1"/>
        <rFont val="Calibri"/>
        <family val="2"/>
        <scheme val="minor"/>
      </rPr>
      <t>im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i</t>
    </r>
  </si>
  <si>
    <t>MatrixTutorial1, p. 36,  MatEigenvector_C</t>
  </si>
  <si>
    <t>Xnumbers_tutorial1, p. 155, Integr_ro</t>
  </si>
  <si>
    <t>Xnumbers_tutorial1, p. 162, IntegrDataC</t>
  </si>
  <si>
    <t>Xnumbers_tutorial1, p. 201, cspline_interp</t>
  </si>
  <si>
    <t>Xnumbers_tutorial1, p. 212, ODE_RK4</t>
  </si>
  <si>
    <t>IMLOG10, IMLOG2, IMEXP, IMSENO, IMCOS, IMCONJ, IMABS, IMPOT</t>
  </si>
  <si>
    <t>COMPLEXO, IMSOMA, IMSUBTR, IMPROD, IMDIV, IMLN,</t>
  </si>
  <si>
    <t>Poly_Roots</t>
  </si>
  <si>
    <r>
      <rPr>
        <b/>
        <sz val="11"/>
        <color theme="1"/>
        <rFont val="Calibri"/>
        <family val="2"/>
        <scheme val="minor"/>
      </rPr>
      <t>IMPORTANTE</t>
    </r>
    <r>
      <rPr>
        <sz val="11"/>
        <color theme="1"/>
        <rFont val="Calibri"/>
        <family val="2"/>
        <scheme val="minor"/>
      </rPr>
      <t>:</t>
    </r>
  </si>
  <si>
    <r>
      <t xml:space="preserve">1) faça download do arquivo </t>
    </r>
    <r>
      <rPr>
        <b/>
        <sz val="11"/>
        <color theme="1"/>
        <rFont val="Calibri"/>
        <family val="2"/>
        <scheme val="minor"/>
      </rPr>
      <t>Suplementos e Manuais.7z</t>
    </r>
    <r>
      <rPr>
        <sz val="11"/>
        <color theme="1"/>
        <rFont val="Calibri"/>
        <family val="2"/>
        <scheme val="minor"/>
      </rPr>
      <t>;</t>
    </r>
  </si>
  <si>
    <t>2) extraia todos os arquivos em uma pasta conveniente;</t>
  </si>
  <si>
    <r>
      <t xml:space="preserve">3) carregue o suplemento </t>
    </r>
    <r>
      <rPr>
        <b/>
        <sz val="11"/>
        <color theme="1"/>
        <rFont val="Calibri"/>
        <family val="2"/>
        <scheme val="minor"/>
      </rPr>
      <t>MatrizL.xla</t>
    </r>
    <r>
      <rPr>
        <sz val="11"/>
        <color theme="1"/>
        <rFont val="Calibri"/>
        <family val="2"/>
        <scheme val="minor"/>
      </rPr>
      <t>: Arquivo/Opções/Suplementos/Ir...(botão)/Procurar...(botão)/Matrix 2.2 (light) (caixa de checagem)/OK (botão);</t>
    </r>
  </si>
  <si>
    <r>
      <t xml:space="preserve">4) carregue o suplemento </t>
    </r>
    <r>
      <rPr>
        <b/>
        <sz val="11"/>
        <color theme="1"/>
        <rFont val="Calibri"/>
        <family val="2"/>
        <scheme val="minor"/>
      </rPr>
      <t>xnumbers.xla</t>
    </r>
    <r>
      <rPr>
        <sz val="11"/>
        <color theme="1"/>
        <rFont val="Calibri"/>
        <family val="2"/>
        <scheme val="minor"/>
      </rPr>
      <t>: Arquivo/Opções/Suplementos/Ir...(botão)/Procurar...(botão)/XNUMBERS v.5.6 (caixa de checagem)/OK (botão);</t>
    </r>
  </si>
  <si>
    <t>5) faça os exercícios das duas próximas planilhas.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</si>
  <si>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</si>
  <si>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im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</si>
  <si>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</si>
  <si>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</si>
  <si>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interpolado</t>
    </r>
  </si>
  <si>
    <t>Trapézios</t>
  </si>
  <si>
    <t>-3+5j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</si>
</sst>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.0"/>
    <numFmt numFmtId="165" formatCode="0.0000000"/>
    <numFmt numFmtId="166" formatCode="0.00000"/>
    <numFmt numFmtId="167" formatCode="0.0000"/>
    <numFmt numFmtId="168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0" borderId="0" xfId="0" applyFont="1"/>
    <xf numFmtId="0" fontId="1" fillId="3" borderId="1" xfId="0" applyFont="1" applyFill="1" applyBorder="1" applyAlignment="1">
      <alignment horizontal="center" vertical="center"/>
    </xf>
    <xf numFmtId="0" fontId="0" fillId="2" borderId="3" xfId="0" quotePrefix="1" applyFill="1" applyBorder="1" applyAlignment="1">
      <alignment horizontal="center" vertical="center"/>
    </xf>
    <xf numFmtId="0" fontId="0" fillId="4" borderId="3" xfId="0" quotePrefix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1" fontId="0" fillId="4" borderId="3" xfId="0" applyNumberFormat="1" applyFill="1" applyBorder="1" applyAlignment="1">
      <alignment horizontal="center" vertical="center"/>
    </xf>
    <xf numFmtId="167" fontId="0" fillId="4" borderId="3" xfId="0" applyNumberFormat="1" applyFill="1" applyBorder="1" applyAlignment="1">
      <alignment horizontal="center" vertical="center"/>
    </xf>
    <xf numFmtId="167" fontId="0" fillId="4" borderId="1" xfId="0" applyNumberFormat="1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168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168" fontId="0" fillId="6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textRotation="90"/>
    </xf>
    <xf numFmtId="0" fontId="1" fillId="3" borderId="8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textRotation="90"/>
    </xf>
    <xf numFmtId="0" fontId="0" fillId="4" borderId="1" xfId="0" quotePrefix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7" fontId="0" fillId="3" borderId="3" xfId="0" applyNumberFormat="1" applyFill="1" applyBorder="1" applyAlignment="1">
      <alignment horizontal="center" vertical="center"/>
    </xf>
    <xf numFmtId="167" fontId="0" fillId="3" borderId="1" xfId="0" applyNumberFormat="1" applyFill="1" applyBorder="1" applyAlignment="1">
      <alignment horizontal="center" vertical="center"/>
    </xf>
    <xf numFmtId="167" fontId="0" fillId="7" borderId="3" xfId="0" applyNumberFormat="1" applyFill="1" applyBorder="1" applyAlignment="1">
      <alignment horizontal="center" vertical="center"/>
    </xf>
    <xf numFmtId="167" fontId="0" fillId="7" borderId="1" xfId="0" applyNumberFormat="1" applyFill="1" applyBorder="1" applyAlignment="1">
      <alignment horizontal="center" vertical="center"/>
    </xf>
    <xf numFmtId="167" fontId="0" fillId="8" borderId="1" xfId="0" applyNumberFormat="1" applyFill="1" applyBorder="1" applyAlignment="1">
      <alignment horizontal="center" vertical="center"/>
    </xf>
    <xf numFmtId="0" fontId="0" fillId="0" borderId="0" xfId="0" applyFill="1"/>
    <xf numFmtId="166" fontId="0" fillId="6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xnumbers!$B$163:$B$178</c:f>
              <c:numCache>
                <c:formatCode>0.0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</c:numCache>
            </c:numRef>
          </c:xVal>
          <c:yVal>
            <c:numRef>
              <c:f>xnumbers!$C$163:$C$178</c:f>
              <c:numCache>
                <c:formatCode>0.00000</c:formatCode>
                <c:ptCount val="16"/>
                <c:pt idx="0" formatCode="General">
                  <c:v>1</c:v>
                </c:pt>
                <c:pt idx="1">
                  <c:v>0.9900498333333333</c:v>
                </c:pt>
                <c:pt idx="2">
                  <c:v>0.96078943523557825</c:v>
                </c:pt>
                <c:pt idx="3">
                  <c:v>0.91393117401863522</c:v>
                </c:pt>
                <c:pt idx="4">
                  <c:v>0.85214377246744555</c:v>
                </c:pt>
                <c:pt idx="5">
                  <c:v>0.7788007805436995</c:v>
                </c:pt>
                <c:pt idx="6">
                  <c:v>0.6976763871777536</c:v>
                </c:pt>
                <c:pt idx="7">
                  <c:v>0.61262660999085305</c:v>
                </c:pt>
                <c:pt idx="8">
                  <c:v>0.52729293054531212</c:v>
                </c:pt>
                <c:pt idx="9">
                  <c:v>0.4448590366898586</c:v>
                </c:pt>
                <c:pt idx="10">
                  <c:v>0.3678810664257649</c:v>
                </c:pt>
                <c:pt idx="11">
                  <c:v>0.29819973874923478</c:v>
                </c:pt>
                <c:pt idx="12">
                  <c:v>0.23693118704219668</c:v>
                </c:pt>
                <c:pt idx="13">
                  <c:v>0.18452398289502145</c:v>
                </c:pt>
                <c:pt idx="14">
                  <c:v>0.14086387955233964</c:v>
                </c:pt>
                <c:pt idx="15">
                  <c:v>0.10540555570721624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D9-4D94-A7FE-64E1CF89C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73184"/>
        <c:axId val="86175104"/>
      </c:scatterChart>
      <c:valAx>
        <c:axId val="8617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175104"/>
        <c:crosses val="autoZero"/>
        <c:crossBetween val="midCat"/>
      </c:valAx>
      <c:valAx>
        <c:axId val="8617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17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535876</xdr:colOff>
      <xdr:row>3</xdr:row>
      <xdr:rowOff>100809</xdr:rowOff>
    </xdr:from>
    <xdr:to>
      <xdr:col>10</xdr:col>
      <xdr:colOff>36635</xdr:colOff>
      <xdr:row>7</xdr:row>
      <xdr:rowOff>21981</xdr:rowOff>
    </xdr:to>
    <xdr:sp macro="" textlink="">
      <xdr:nvSpPr>
        <xdr:cNvPr id="2" name="Texto explicativo retangular com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24703" y="701617"/>
          <a:ext cx="1325163" cy="69782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9670"/>
            <a:gd name="adj6" fmla="val -4420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n>
                <a:noFill/>
              </a:ln>
              <a:solidFill>
                <a:sysClr val="windowText" lastClr="000000"/>
              </a:solidFill>
            </a:rPr>
            <a:t>SysLin(A; b)</a:t>
          </a:r>
        </a:p>
        <a:p>
          <a:pPr algn="l"/>
          <a:r>
            <a:rPr lang="pt-BR" sz="1100" b="1">
              <a:ln>
                <a:noFill/>
              </a:ln>
              <a:solidFill>
                <a:sysClr val="windowText" lastClr="000000"/>
              </a:solidFill>
            </a:rPr>
            <a:t>F2</a:t>
          </a:r>
        </a:p>
        <a:p>
          <a:pPr algn="l"/>
          <a:r>
            <a:rPr lang="pt-BR" sz="1100" b="1">
              <a:ln>
                <a:noFill/>
              </a:ln>
              <a:solidFill>
                <a:sysClr val="windowText" lastClr="000000"/>
              </a:solidFill>
            </a:rPr>
            <a:t>(Ctrl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</a:rPr>
            <a:t> + Shift) + Enter </a:t>
          </a:r>
          <a:endParaRPr lang="pt-BR" sz="1100" b="1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463441</xdr:colOff>
      <xdr:row>115</xdr:row>
      <xdr:rowOff>68580</xdr:rowOff>
    </xdr:from>
    <xdr:to>
      <xdr:col>9</xdr:col>
      <xdr:colOff>541021</xdr:colOff>
      <xdr:row>119</xdr:row>
      <xdr:rowOff>129737</xdr:rowOff>
    </xdr:to>
    <xdr:sp macro="" textlink="">
      <xdr:nvSpPr>
        <xdr:cNvPr id="8" name="Texto explicativo retangular com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770521" y="21389340"/>
          <a:ext cx="2477880" cy="792677"/>
        </a:xfrm>
        <a:prstGeom prst="borderCallout2">
          <a:avLst>
            <a:gd name="adj1" fmla="val 18750"/>
            <a:gd name="adj2" fmla="val -1907"/>
            <a:gd name="adj3" fmla="val 18750"/>
            <a:gd name="adj4" fmla="val -8758"/>
            <a:gd name="adj5" fmla="val 143397"/>
            <a:gd name="adj6" fmla="val -17710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MatEigenvalue_QRC(A; 3), 3 é para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complexo texto 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2</xdr:col>
      <xdr:colOff>325820</xdr:colOff>
      <xdr:row>100</xdr:row>
      <xdr:rowOff>47298</xdr:rowOff>
    </xdr:from>
    <xdr:to>
      <xdr:col>7</xdr:col>
      <xdr:colOff>157655</xdr:colOff>
      <xdr:row>101</xdr:row>
      <xdr:rowOff>110361</xdr:rowOff>
    </xdr:to>
    <xdr:sp macro="" textlink="">
      <xdr:nvSpPr>
        <xdr:cNvPr id="11" name="Texto explicativo retangular com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79027" y="19340350"/>
          <a:ext cx="2879835" cy="253563"/>
        </a:xfrm>
        <a:prstGeom prst="borderCallout2">
          <a:avLst>
            <a:gd name="adj1" fmla="val 18750"/>
            <a:gd name="adj2" fmla="val -2402"/>
            <a:gd name="adj3" fmla="val 18750"/>
            <a:gd name="adj4" fmla="val -8227"/>
            <a:gd name="adj5" fmla="val 37371"/>
            <a:gd name="adj6" fmla="val -13136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COMPLEXO(-2; 3; "i") ou COMPLEXO(-2; 3; "j")</a:t>
          </a:r>
        </a:p>
      </xdr:txBody>
    </xdr:sp>
    <xdr:clientData/>
  </xdr:twoCellAnchor>
  <xdr:twoCellAnchor>
    <xdr:from>
      <xdr:col>5</xdr:col>
      <xdr:colOff>334565</xdr:colOff>
      <xdr:row>136</xdr:row>
      <xdr:rowOff>99191</xdr:rowOff>
    </xdr:from>
    <xdr:to>
      <xdr:col>9</xdr:col>
      <xdr:colOff>237346</xdr:colOff>
      <xdr:row>140</xdr:row>
      <xdr:rowOff>57150</xdr:rowOff>
    </xdr:to>
    <xdr:sp macro="" textlink="">
      <xdr:nvSpPr>
        <xdr:cNvPr id="13" name="Texto explicativo retangular com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579018" y="26507254"/>
          <a:ext cx="2278078" cy="755677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8619"/>
            <a:gd name="adj6" fmla="val -5015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MatEigenvector_C(A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; </a:t>
          </a:r>
          <a:r>
            <a:rPr lang="el-G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λ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</a:t>
          </a:r>
          <a:r>
            <a:rPr lang="el-G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λ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4</xdr:col>
      <xdr:colOff>520262</xdr:colOff>
      <xdr:row>49</xdr:row>
      <xdr:rowOff>68033</xdr:rowOff>
    </xdr:from>
    <xdr:to>
      <xdr:col>7</xdr:col>
      <xdr:colOff>131380</xdr:colOff>
      <xdr:row>51</xdr:row>
      <xdr:rowOff>120585</xdr:rowOff>
    </xdr:to>
    <xdr:sp macro="" textlink="">
      <xdr:nvSpPr>
        <xdr:cNvPr id="16" name="Texto explicativo retangular com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173655" y="9661069"/>
          <a:ext cx="1380046" cy="43355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6807"/>
            <a:gd name="adj6" fmla="val -41737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53</xdr:row>
      <xdr:rowOff>24678</xdr:rowOff>
    </xdr:from>
    <xdr:to>
      <xdr:col>7</xdr:col>
      <xdr:colOff>131380</xdr:colOff>
      <xdr:row>55</xdr:row>
      <xdr:rowOff>83799</xdr:rowOff>
    </xdr:to>
    <xdr:sp macro="" textlink="">
      <xdr:nvSpPr>
        <xdr:cNvPr id="17" name="Texto explicativo retangular com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173655" y="1037971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3225"/>
            <a:gd name="adj6" fmla="val -42723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57</xdr:row>
      <xdr:rowOff>78543</xdr:rowOff>
    </xdr:from>
    <xdr:to>
      <xdr:col>7</xdr:col>
      <xdr:colOff>131380</xdr:colOff>
      <xdr:row>59</xdr:row>
      <xdr:rowOff>131095</xdr:rowOff>
    </xdr:to>
    <xdr:sp macro="" textlink="">
      <xdr:nvSpPr>
        <xdr:cNvPr id="18" name="Texto explicativo retangular com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173655" y="11195579"/>
          <a:ext cx="1380046" cy="43355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0530"/>
            <a:gd name="adj6" fmla="val -43709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61</xdr:row>
      <xdr:rowOff>56208</xdr:rowOff>
    </xdr:from>
    <xdr:to>
      <xdr:col>7</xdr:col>
      <xdr:colOff>131380</xdr:colOff>
      <xdr:row>63</xdr:row>
      <xdr:rowOff>115329</xdr:rowOff>
    </xdr:to>
    <xdr:sp macro="" textlink="">
      <xdr:nvSpPr>
        <xdr:cNvPr id="19" name="Texto explicativo retangular com cantos arredondado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173655" y="1193524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0133"/>
            <a:gd name="adj6" fmla="val -44695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65</xdr:row>
      <xdr:rowOff>45698</xdr:rowOff>
    </xdr:from>
    <xdr:to>
      <xdr:col>7</xdr:col>
      <xdr:colOff>131380</xdr:colOff>
      <xdr:row>67</xdr:row>
      <xdr:rowOff>104819</xdr:rowOff>
    </xdr:to>
    <xdr:sp macro="" textlink="">
      <xdr:nvSpPr>
        <xdr:cNvPr id="20" name="Texto explicativo retangular com cantos arredondado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173655" y="1268673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3225"/>
            <a:gd name="adj6" fmla="val -4568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69</xdr:row>
      <xdr:rowOff>45698</xdr:rowOff>
    </xdr:from>
    <xdr:to>
      <xdr:col>7</xdr:col>
      <xdr:colOff>131380</xdr:colOff>
      <xdr:row>71</xdr:row>
      <xdr:rowOff>104819</xdr:rowOff>
    </xdr:to>
    <xdr:sp macro="" textlink="">
      <xdr:nvSpPr>
        <xdr:cNvPr id="21" name="Texto explicativo retangular com cantos arredondado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73655" y="1344873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3225"/>
            <a:gd name="adj6" fmla="val -4568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6</xdr:col>
      <xdr:colOff>0</xdr:colOff>
      <xdr:row>143</xdr:row>
      <xdr:rowOff>0</xdr:rowOff>
    </xdr:from>
    <xdr:to>
      <xdr:col>8</xdr:col>
      <xdr:colOff>225973</xdr:colOff>
      <xdr:row>145</xdr:row>
      <xdr:rowOff>53866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3849414" y="27694759"/>
          <a:ext cx="1388680" cy="43486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7183"/>
            <a:gd name="adj6" fmla="val -49505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8</xdr:col>
      <xdr:colOff>29231</xdr:colOff>
      <xdr:row>17</xdr:row>
      <xdr:rowOff>107731</xdr:rowOff>
    </xdr:from>
    <xdr:to>
      <xdr:col>10</xdr:col>
      <xdr:colOff>218418</xdr:colOff>
      <xdr:row>21</xdr:row>
      <xdr:rowOff>57150</xdr:rowOff>
    </xdr:to>
    <xdr:sp macro="" textlink="">
      <xdr:nvSpPr>
        <xdr:cNvPr id="25" name="Texto explicativo retangular com cantos arredondado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039381" y="3412906"/>
          <a:ext cx="1408387" cy="71141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61093"/>
            <a:gd name="adj6" fmla="val -3797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M_PROD(A; B)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7</xdr:col>
      <xdr:colOff>372788</xdr:colOff>
      <xdr:row>29</xdr:row>
      <xdr:rowOff>171450</xdr:rowOff>
    </xdr:from>
    <xdr:to>
      <xdr:col>9</xdr:col>
      <xdr:colOff>561975</xdr:colOff>
      <xdr:row>33</xdr:row>
      <xdr:rowOff>67079</xdr:rowOff>
    </xdr:to>
    <xdr:sp macro="" textlink="">
      <xdr:nvSpPr>
        <xdr:cNvPr id="26" name="Texto explicativo retangular com cantos arredondado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773338" y="5781675"/>
          <a:ext cx="1408387" cy="73382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2362"/>
            <a:gd name="adj6" fmla="val -3466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M_POW(A; 5)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4</xdr:col>
      <xdr:colOff>542242</xdr:colOff>
      <xdr:row>41</xdr:row>
      <xdr:rowOff>140323</xdr:rowOff>
    </xdr:from>
    <xdr:to>
      <xdr:col>7</xdr:col>
      <xdr:colOff>153360</xdr:colOff>
      <xdr:row>45</xdr:row>
      <xdr:rowOff>180156</xdr:rowOff>
    </xdr:to>
    <xdr:sp macro="" textlink="">
      <xdr:nvSpPr>
        <xdr:cNvPr id="27" name="Texto explicativo retangular com cantos arredondado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172607" y="8148650"/>
          <a:ext cx="1369580" cy="80183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13414"/>
            <a:gd name="adj6" fmla="val -45597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GJ_step(Ab)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4</xdr:col>
      <xdr:colOff>557948</xdr:colOff>
      <xdr:row>78</xdr:row>
      <xdr:rowOff>33374</xdr:rowOff>
    </xdr:from>
    <xdr:to>
      <xdr:col>7</xdr:col>
      <xdr:colOff>231912</xdr:colOff>
      <xdr:row>82</xdr:row>
      <xdr:rowOff>16622</xdr:rowOff>
    </xdr:to>
    <xdr:sp macro="" textlink="">
      <xdr:nvSpPr>
        <xdr:cNvPr id="28" name="Texto explicativo retangular com cantos arredondado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196373" y="15140024"/>
          <a:ext cx="1436089" cy="75477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58601"/>
            <a:gd name="adj6" fmla="val -76096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Mat_LU(A)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3</xdr:col>
      <xdr:colOff>425668</xdr:colOff>
      <xdr:row>87</xdr:row>
      <xdr:rowOff>173419</xdr:rowOff>
    </xdr:from>
    <xdr:to>
      <xdr:col>6</xdr:col>
      <xdr:colOff>177361</xdr:colOff>
      <xdr:row>91</xdr:row>
      <xdr:rowOff>141888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463190" y="17003680"/>
          <a:ext cx="1573867" cy="747034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9259"/>
            <a:gd name="adj6" fmla="val -32458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M_PROD(L; U)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5</xdr:col>
      <xdr:colOff>351693</xdr:colOff>
      <xdr:row>12</xdr:row>
      <xdr:rowOff>58616</xdr:rowOff>
    </xdr:from>
    <xdr:to>
      <xdr:col>6</xdr:col>
      <xdr:colOff>534865</xdr:colOff>
      <xdr:row>14</xdr:row>
      <xdr:rowOff>48105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582866" y="2388578"/>
          <a:ext cx="791307" cy="385142"/>
        </a:xfrm>
        <a:prstGeom prst="borderCallout2">
          <a:avLst/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M_DET(A) </a:t>
          </a:r>
        </a:p>
      </xdr:txBody>
    </xdr:sp>
    <xdr:clientData/>
  </xdr:twoCellAnchor>
  <xdr:twoCellAnchor>
    <xdr:from>
      <xdr:col>7</xdr:col>
      <xdr:colOff>491303</xdr:colOff>
      <xdr:row>100</xdr:row>
      <xdr:rowOff>182675</xdr:rowOff>
    </xdr:from>
    <xdr:to>
      <xdr:col>9</xdr:col>
      <xdr:colOff>353924</xdr:colOff>
      <xdr:row>102</xdr:row>
      <xdr:rowOff>88081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4905933" y="19506001"/>
          <a:ext cx="1088448" cy="28640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716"/>
            <a:gd name="adj6" fmla="val -50472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IMSOMA(xy) </a:t>
          </a:r>
        </a:p>
      </xdr:txBody>
    </xdr:sp>
    <xdr:clientData/>
  </xdr:twoCellAnchor>
  <xdr:twoCellAnchor>
    <xdr:from>
      <xdr:col>7</xdr:col>
      <xdr:colOff>501813</xdr:colOff>
      <xdr:row>102</xdr:row>
      <xdr:rowOff>124868</xdr:rowOff>
    </xdr:from>
    <xdr:to>
      <xdr:col>9</xdr:col>
      <xdr:colOff>364434</xdr:colOff>
      <xdr:row>104</xdr:row>
      <xdr:rowOff>23704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4916443" y="19829194"/>
          <a:ext cx="1088448" cy="27983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2184"/>
            <a:gd name="adj6" fmla="val -50472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IMSUBTR(x; y) </a:t>
          </a:r>
        </a:p>
      </xdr:txBody>
    </xdr:sp>
    <xdr:clientData/>
  </xdr:twoCellAnchor>
  <xdr:twoCellAnchor>
    <xdr:from>
      <xdr:col>7</xdr:col>
      <xdr:colOff>491302</xdr:colOff>
      <xdr:row>104</xdr:row>
      <xdr:rowOff>71002</xdr:rowOff>
    </xdr:from>
    <xdr:to>
      <xdr:col>9</xdr:col>
      <xdr:colOff>353923</xdr:colOff>
      <xdr:row>105</xdr:row>
      <xdr:rowOff>166908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4905932" y="20156328"/>
          <a:ext cx="1088448" cy="28640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499"/>
            <a:gd name="adj6" fmla="val -4971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IMPROD(xy) </a:t>
          </a:r>
        </a:p>
      </xdr:txBody>
    </xdr:sp>
    <xdr:clientData/>
  </xdr:twoCellAnchor>
  <xdr:twoCellAnchor>
    <xdr:from>
      <xdr:col>7</xdr:col>
      <xdr:colOff>501813</xdr:colOff>
      <xdr:row>106</xdr:row>
      <xdr:rowOff>23703</xdr:rowOff>
    </xdr:from>
    <xdr:to>
      <xdr:col>9</xdr:col>
      <xdr:colOff>364434</xdr:colOff>
      <xdr:row>107</xdr:row>
      <xdr:rowOff>119609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916443" y="20490029"/>
          <a:ext cx="1088448" cy="27812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48314"/>
            <a:gd name="adj6" fmla="val -51233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IMDIV(x; y) </a:t>
          </a:r>
        </a:p>
      </xdr:txBody>
    </xdr:sp>
    <xdr:clientData/>
  </xdr:twoCellAnchor>
  <xdr:twoCellAnchor>
    <xdr:from>
      <xdr:col>6</xdr:col>
      <xdr:colOff>0</xdr:colOff>
      <xdr:row>140</xdr:row>
      <xdr:rowOff>120868</xdr:rowOff>
    </xdr:from>
    <xdr:to>
      <xdr:col>8</xdr:col>
      <xdr:colOff>484789</xdr:colOff>
      <xdr:row>142</xdr:row>
      <xdr:rowOff>0</xdr:rowOff>
    </xdr:to>
    <xdr:sp macro="" textlink="">
      <xdr:nvSpPr>
        <xdr:cNvPr id="36" name="Texto explicativo retangular com cantos arredondado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3849414" y="27244127"/>
          <a:ext cx="1647496" cy="26013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4621"/>
            <a:gd name="adj6" fmla="val -41085"/>
          </a:avLst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COMPLEXO(x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; x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; "j")</a:t>
          </a:r>
        </a:p>
      </xdr:txBody>
    </xdr:sp>
    <xdr:clientData/>
  </xdr:twoCellAnchor>
  <xdr:twoCellAnchor>
    <xdr:from>
      <xdr:col>2</xdr:col>
      <xdr:colOff>320565</xdr:colOff>
      <xdr:row>97</xdr:row>
      <xdr:rowOff>52551</xdr:rowOff>
    </xdr:from>
    <xdr:to>
      <xdr:col>4</xdr:col>
      <xdr:colOff>84083</xdr:colOff>
      <xdr:row>98</xdr:row>
      <xdr:rowOff>110360</xdr:rowOff>
    </xdr:to>
    <xdr:sp macro="" textlink="">
      <xdr:nvSpPr>
        <xdr:cNvPr id="31" name="Texto explicativo retangular com cantos arredondado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73772" y="18774103"/>
          <a:ext cx="1051035" cy="24830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3982"/>
            <a:gd name="adj6" fmla="val -39792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Digite '1+2j</a:t>
          </a:r>
        </a:p>
      </xdr:txBody>
    </xdr:sp>
    <xdr:clientData/>
  </xdr:twoCellAnchor>
  <xdr:twoCellAnchor>
    <xdr:from>
      <xdr:col>2</xdr:col>
      <xdr:colOff>331074</xdr:colOff>
      <xdr:row>98</xdr:row>
      <xdr:rowOff>141889</xdr:rowOff>
    </xdr:from>
    <xdr:to>
      <xdr:col>4</xdr:col>
      <xdr:colOff>84083</xdr:colOff>
      <xdr:row>100</xdr:row>
      <xdr:rowOff>15767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684281" y="19053941"/>
          <a:ext cx="1040526" cy="25487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8377"/>
            <a:gd name="adj6" fmla="val -3909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Digite '-3+5j</a:t>
          </a:r>
        </a:p>
      </xdr:txBody>
    </xdr:sp>
    <xdr:clientData/>
  </xdr:twoCellAnchor>
  <xdr:twoCellAnchor>
    <xdr:from>
      <xdr:col>7</xdr:col>
      <xdr:colOff>100174</xdr:colOff>
      <xdr:row>127</xdr:row>
      <xdr:rowOff>48939</xdr:rowOff>
    </xdr:from>
    <xdr:to>
      <xdr:col>9</xdr:col>
      <xdr:colOff>386585</xdr:colOff>
      <xdr:row>130</xdr:row>
      <xdr:rowOff>151415</xdr:rowOff>
    </xdr:to>
    <xdr:sp macro="" textlink="">
      <xdr:nvSpPr>
        <xdr:cNvPr id="39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4500724" y="24632964"/>
          <a:ext cx="1505611" cy="67397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56334"/>
            <a:gd name="adj6" fmla="val -76836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IMREAL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(A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ij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e </a:t>
          </a:r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IMAGINÁRIO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(A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ij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na matriz A do exercício 8</a:t>
          </a:r>
          <a:endParaRPr lang="pt-BR" sz="1100" b="1">
            <a:ln>
              <a:noFill/>
            </a:ln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147</xdr:row>
      <xdr:rowOff>0</xdr:rowOff>
    </xdr:from>
    <xdr:to>
      <xdr:col>8</xdr:col>
      <xdr:colOff>225973</xdr:colOff>
      <xdr:row>149</xdr:row>
      <xdr:rowOff>53866</xdr:rowOff>
    </xdr:to>
    <xdr:sp macro="" textlink="">
      <xdr:nvSpPr>
        <xdr:cNvPr id="40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3849414" y="28456759"/>
          <a:ext cx="1388680" cy="43486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7183"/>
            <a:gd name="adj6" fmla="val -49505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6</xdr:col>
      <xdr:colOff>0</xdr:colOff>
      <xdr:row>150</xdr:row>
      <xdr:rowOff>136634</xdr:rowOff>
    </xdr:from>
    <xdr:to>
      <xdr:col>8</xdr:col>
      <xdr:colOff>225973</xdr:colOff>
      <xdr:row>153</xdr:row>
      <xdr:rowOff>0</xdr:rowOff>
    </xdr:to>
    <xdr:sp macro="" textlink="">
      <xdr:nvSpPr>
        <xdr:cNvPr id="41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849414" y="29164893"/>
          <a:ext cx="1388680" cy="43486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7183"/>
            <a:gd name="adj6" fmla="val -49505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638174</xdr:colOff>
      <xdr:row>120</xdr:row>
      <xdr:rowOff>0</xdr:rowOff>
    </xdr:from>
    <xdr:ext cx="733426" cy="3619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2552699" y="22321838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pt-BR" sz="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800" b="0" i="1">
                            <a:latin typeface="Cambria Math"/>
                          </a:rPr>
                          <m:t>𝑎</m:t>
                        </m:r>
                      </m:sub>
                      <m:sup>
                        <m:r>
                          <a:rPr lang="pt-BR" sz="800" b="0" i="1">
                            <a:latin typeface="Cambria Math"/>
                          </a:rPr>
                          <m:t>𝑏</m:t>
                        </m:r>
                      </m:sup>
                      <m:e>
                        <m:r>
                          <a:rPr lang="pt-BR" sz="800" b="0" i="1">
                            <a:latin typeface="Cambria Math"/>
                          </a:rPr>
                          <m:t>𝑓</m:t>
                        </m:r>
                        <m:d>
                          <m:dPr>
                            <m:ctrlPr>
                              <a:rPr lang="pt-BR" sz="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800" b="0" i="1">
                                <a:latin typeface="Cambria Math"/>
                              </a:rPr>
                              <m:t>𝑥</m:t>
                            </m:r>
                          </m:e>
                        </m:d>
                        <m:r>
                          <a:rPr lang="pt-BR" sz="800" b="0" i="1">
                            <a:latin typeface="Cambria Math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pt-BR" sz="8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2552699" y="22321838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pt-BR" sz="800" i="0">
                  <a:latin typeface="Cambria Math"/>
                </a:rPr>
                <a:t>∫24_</a:t>
              </a:r>
              <a:r>
                <a:rPr lang="pt-BR" sz="800" b="0" i="0">
                  <a:latin typeface="Cambria Math"/>
                </a:rPr>
                <a:t>𝑎^𝑏▒𝑓(𝑥)𝑑𝑥</a:t>
              </a:r>
              <a:endParaRPr lang="pt-BR" sz="800"/>
            </a:p>
          </xdr:txBody>
        </xdr:sp>
      </mc:Fallback>
    </mc:AlternateContent>
    <xdr:clientData/>
  </xdr:oneCellAnchor>
  <xdr:twoCellAnchor>
    <xdr:from>
      <xdr:col>4</xdr:col>
      <xdr:colOff>1</xdr:colOff>
      <xdr:row>168</xdr:row>
      <xdr:rowOff>1</xdr:rowOff>
    </xdr:from>
    <xdr:to>
      <xdr:col>8</xdr:col>
      <xdr:colOff>1</xdr:colOff>
      <xdr:row>178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0</xdr:colOff>
      <xdr:row>132</xdr:row>
      <xdr:rowOff>0</xdr:rowOff>
    </xdr:from>
    <xdr:ext cx="1276350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748213" y="24493538"/>
              <a:ext cx="1276350" cy="381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pt-BR" sz="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pt-BR" sz="800" b="0" i="1">
                            <a:latin typeface="Cambria Math"/>
                          </a:rPr>
                          <m:t>0</m:t>
                        </m:r>
                      </m:sub>
                      <m:sup>
                        <m:r>
                          <a:rPr lang="pt-BR" sz="800" b="0" i="1">
                            <a:latin typeface="Cambria Math"/>
                          </a:rPr>
                          <m:t>1,6</m:t>
                        </m:r>
                      </m:sup>
                      <m:e>
                        <m:r>
                          <a:rPr lang="pt-BR" sz="800" b="0" i="1">
                            <a:latin typeface="Cambria Math"/>
                          </a:rPr>
                          <m:t>𝑓</m:t>
                        </m:r>
                        <m:d>
                          <m:dPr>
                            <m:ctrlPr>
                              <a:rPr lang="pt-BR" sz="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800" b="0" i="1">
                                <a:latin typeface="Cambria Math"/>
                              </a:rPr>
                              <m:t>𝑥</m:t>
                            </m:r>
                          </m:e>
                        </m:d>
                        <m:r>
                          <a:rPr lang="pt-BR" sz="800" b="0" i="1">
                            <a:latin typeface="Cambria Math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pt-BR" sz="800"/>
            </a:p>
          </xdr:txBody>
        </xdr:sp>
      </mc:Choice>
      <mc:Fallback xmlns="">
        <xdr:sp macro="" textlink="">
          <xdr:nvSpPr>
            <xdr:cNvPr id="9" name="CaixaDeTexto 8"/>
            <xdr:cNvSpPr txBox="1"/>
          </xdr:nvSpPr>
          <xdr:spPr>
            <a:xfrm>
              <a:off x="4748213" y="24493538"/>
              <a:ext cx="1276350" cy="381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pt-BR" sz="800" i="0">
                  <a:latin typeface="Cambria Math"/>
                </a:rPr>
                <a:t>∫</a:t>
              </a:r>
              <a:r>
                <a:rPr lang="pt-BR" sz="800" b="0" i="0">
                  <a:latin typeface="Cambria Math"/>
                </a:rPr>
                <a:t>_0^1,6▒𝑓(𝑥)𝑑𝑥</a:t>
              </a:r>
              <a:endParaRPr lang="pt-BR" sz="800"/>
            </a:p>
          </xdr:txBody>
        </xdr:sp>
      </mc:Fallback>
    </mc:AlternateContent>
    <xdr:clientData/>
  </xdr:oneCellAnchor>
  <xdr:twoCellAnchor>
    <xdr:from>
      <xdr:col>3</xdr:col>
      <xdr:colOff>416902</xdr:colOff>
      <xdr:row>137</xdr:row>
      <xdr:rowOff>34069</xdr:rowOff>
    </xdr:from>
    <xdr:to>
      <xdr:col>6</xdr:col>
      <xdr:colOff>14654</xdr:colOff>
      <xdr:row>140</xdr:row>
      <xdr:rowOff>66675</xdr:rowOff>
    </xdr:to>
    <xdr:sp macro="" textlink="">
      <xdr:nvSpPr>
        <xdr:cNvPr id="16" name="Texto explicativo retangular com cantos arredondado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 flipH="1">
          <a:off x="2617177" y="26246869"/>
          <a:ext cx="1550377" cy="60410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50975"/>
            <a:gd name="adj6" fmla="val -50653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ln>
                <a:noFill/>
              </a:ln>
              <a:solidFill>
                <a:schemeClr val="tx1"/>
              </a:solidFill>
            </a:rPr>
            <a:t>IntegrDataC(x; y; grau)</a:t>
          </a:r>
        </a:p>
        <a:p>
          <a:pPr algn="l"/>
          <a:r>
            <a:rPr lang="pt-BR" sz="1100" b="1" baseline="0">
              <a:ln>
                <a:noFill/>
              </a:ln>
              <a:solidFill>
                <a:schemeClr val="tx1"/>
              </a:solidFill>
            </a:rPr>
            <a:t>x é a coluna toda</a:t>
          </a:r>
        </a:p>
        <a:p>
          <a:pPr algn="l"/>
          <a:r>
            <a:rPr lang="pt-BR" sz="1100" b="1" baseline="0">
              <a:ln>
                <a:noFill/>
              </a:ln>
              <a:solidFill>
                <a:schemeClr val="tx1"/>
              </a:solidFill>
            </a:rPr>
            <a:t>y é a coluna toda</a:t>
          </a:r>
        </a:p>
      </xdr:txBody>
    </xdr:sp>
    <xdr:clientData/>
  </xdr:twoCellAnchor>
  <xdr:twoCellAnchor>
    <xdr:from>
      <xdr:col>6</xdr:col>
      <xdr:colOff>157529</xdr:colOff>
      <xdr:row>92</xdr:row>
      <xdr:rowOff>5128</xdr:rowOff>
    </xdr:from>
    <xdr:to>
      <xdr:col>8</xdr:col>
      <xdr:colOff>512884</xdr:colOff>
      <xdr:row>93</xdr:row>
      <xdr:rowOff>167786</xdr:rowOff>
    </xdr:to>
    <xdr:sp macro="" textlink="">
      <xdr:nvSpPr>
        <xdr:cNvPr id="18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310429" y="17569228"/>
          <a:ext cx="1593605" cy="35315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94153"/>
            <a:gd name="adj6" fmla="val -4084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COMPLEXO(x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; 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; "j")</a:t>
          </a:r>
          <a:endParaRPr lang="pt-BR">
            <a:solidFill>
              <a:sysClr val="windowText" lastClr="000000"/>
            </a:solidFill>
            <a:effectLst/>
          </a:endParaRPr>
        </a:p>
        <a:p>
          <a:pPr algn="l"/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</a:rPr>
            <a:t> </a:t>
          </a:r>
          <a:endParaRPr lang="pt-BR" sz="1100" b="1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249114</xdr:colOff>
      <xdr:row>132</xdr:row>
      <xdr:rowOff>139212</xdr:rowOff>
    </xdr:from>
    <xdr:to>
      <xdr:col>4</xdr:col>
      <xdr:colOff>57150</xdr:colOff>
      <xdr:row>133</xdr:row>
      <xdr:rowOff>123825</xdr:rowOff>
    </xdr:to>
    <xdr:sp macro="" textlink="">
      <xdr:nvSpPr>
        <xdr:cNvPr id="21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449389" y="25361412"/>
          <a:ext cx="427161" cy="21321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8020"/>
            <a:gd name="adj6" fmla="val -67613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1,0</a:t>
          </a:r>
        </a:p>
      </xdr:txBody>
    </xdr:sp>
    <xdr:clientData/>
  </xdr:twoCellAnchor>
  <xdr:twoCellAnchor>
    <xdr:from>
      <xdr:col>3</xdr:col>
      <xdr:colOff>241789</xdr:colOff>
      <xdr:row>133</xdr:row>
      <xdr:rowOff>175846</xdr:rowOff>
    </xdr:from>
    <xdr:to>
      <xdr:col>4</xdr:col>
      <xdr:colOff>468923</xdr:colOff>
      <xdr:row>135</xdr:row>
      <xdr:rowOff>7327</xdr:rowOff>
    </xdr:to>
    <xdr:sp macro="" textlink="">
      <xdr:nvSpPr>
        <xdr:cNvPr id="22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2444963" y="25636585"/>
          <a:ext cx="848330" cy="21248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4616"/>
            <a:gd name="adj6" fmla="val -3139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sen(x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/ 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</a:t>
          </a:r>
        </a:p>
      </xdr:txBody>
    </xdr:sp>
    <xdr:clientData/>
  </xdr:twoCellAnchor>
  <xdr:twoCellAnchor>
    <xdr:from>
      <xdr:col>1</xdr:col>
      <xdr:colOff>26377</xdr:colOff>
      <xdr:row>153</xdr:row>
      <xdr:rowOff>44694</xdr:rowOff>
    </xdr:from>
    <xdr:to>
      <xdr:col>3</xdr:col>
      <xdr:colOff>146539</xdr:colOff>
      <xdr:row>156</xdr:row>
      <xdr:rowOff>104775</xdr:rowOff>
    </xdr:to>
    <xdr:sp macro="" textlink="">
      <xdr:nvSpPr>
        <xdr:cNvPr id="23" name="Texto explicativo retangular com cantos arredondados 15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 flipH="1">
          <a:off x="826477" y="29295969"/>
          <a:ext cx="1520337" cy="63158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20603"/>
            <a:gd name="adj6" fmla="val -8787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cspline_interp(x; y; z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x é a coluna toda</a:t>
          </a:r>
          <a:endParaRPr lang="pt-BR">
            <a:solidFill>
              <a:sysClr val="windowText" lastClr="000000"/>
            </a:solidFill>
            <a:effectLst/>
          </a:endParaRPr>
        </a:p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y é a coluna toda</a:t>
          </a:r>
          <a:endParaRPr lang="pt-BR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4</xdr:col>
      <xdr:colOff>400051</xdr:colOff>
      <xdr:row>161</xdr:row>
      <xdr:rowOff>9526</xdr:rowOff>
    </xdr:from>
    <xdr:to>
      <xdr:col>6</xdr:col>
      <xdr:colOff>571501</xdr:colOff>
      <xdr:row>164</xdr:row>
      <xdr:rowOff>171450</xdr:rowOff>
    </xdr:to>
    <xdr:sp macro="" textlink="">
      <xdr:nvSpPr>
        <xdr:cNvPr id="14" name="Texto explicativo retangular com cantos arredondados 1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303271" y="29544646"/>
          <a:ext cx="1543050" cy="710564"/>
        </a:xfrm>
        <a:prstGeom prst="borderCallout2">
          <a:avLst>
            <a:gd name="adj1" fmla="val 81088"/>
            <a:gd name="adj2" fmla="val -6434"/>
            <a:gd name="adj3" fmla="val 81088"/>
            <a:gd name="adj4" fmla="val -16034"/>
            <a:gd name="adj5" fmla="val 65234"/>
            <a:gd name="adj6" fmla="val -74722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ODE_RK4(EDO; xy; h)</a:t>
          </a:r>
          <a:endParaRPr lang="pt-BR">
            <a:solidFill>
              <a:schemeClr val="tx1"/>
            </a:solidFill>
            <a:effectLst/>
          </a:endParaRPr>
        </a:p>
        <a:p>
          <a:pPr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F2</a:t>
          </a:r>
          <a:endParaRPr lang="pt-BR">
            <a:solidFill>
              <a:schemeClr val="tx1"/>
            </a:solidFill>
            <a:effectLst/>
          </a:endParaRPr>
        </a:p>
        <a:p>
          <a:pPr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(Ctrl</a:t>
          </a:r>
          <a:r>
            <a:rPr lang="pt-B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+ Shift) + Enter </a:t>
          </a:r>
          <a:endParaRPr lang="pt-B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4</xdr:col>
      <xdr:colOff>414337</xdr:colOff>
      <xdr:row>165</xdr:row>
      <xdr:rowOff>71436</xdr:rowOff>
    </xdr:from>
    <xdr:to>
      <xdr:col>6</xdr:col>
      <xdr:colOff>450417</xdr:colOff>
      <xdr:row>167</xdr:row>
      <xdr:rowOff>130557</xdr:rowOff>
    </xdr:to>
    <xdr:sp macro="" textlink="">
      <xdr:nvSpPr>
        <xdr:cNvPr id="17" name="Texto explicativo retangular com cantos arredondado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233737" y="31637286"/>
          <a:ext cx="1369580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36828"/>
            <a:gd name="adj6" fmla="val -81440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0</xdr:col>
      <xdr:colOff>85725</xdr:colOff>
      <xdr:row>88</xdr:row>
      <xdr:rowOff>66675</xdr:rowOff>
    </xdr:from>
    <xdr:to>
      <xdr:col>2</xdr:col>
      <xdr:colOff>35901</xdr:colOff>
      <xdr:row>92</xdr:row>
      <xdr:rowOff>116498</xdr:rowOff>
    </xdr:to>
    <xdr:sp macro="" textlink="">
      <xdr:nvSpPr>
        <xdr:cNvPr id="15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 flipH="1">
          <a:off x="85725" y="16830675"/>
          <a:ext cx="1369401" cy="84992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63909"/>
            <a:gd name="adj6" fmla="val -50468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Poly_Roots(a)</a:t>
          </a:r>
        </a:p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 é a coluna toda</a:t>
          </a:r>
        </a:p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F2</a:t>
          </a:r>
        </a:p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oneCellAnchor>
    <xdr:from>
      <xdr:col>3</xdr:col>
      <xdr:colOff>638174</xdr:colOff>
      <xdr:row>120</xdr:row>
      <xdr:rowOff>0</xdr:rowOff>
    </xdr:from>
    <xdr:ext cx="733426" cy="3619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4AEF4821-797D-4248-92FB-21A18040AC6C}"/>
                </a:ext>
              </a:extLst>
            </xdr:cNvPr>
            <xdr:cNvSpPr txBox="1"/>
          </xdr:nvSpPr>
          <xdr:spPr>
            <a:xfrm>
              <a:off x="2901314" y="21998940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pt-BR" sz="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800" b="0" i="1">
                            <a:latin typeface="Cambria Math"/>
                          </a:rPr>
                          <m:t>𝑎</m:t>
                        </m:r>
                      </m:sub>
                      <m:sup>
                        <m:r>
                          <a:rPr lang="pt-BR" sz="800" b="0" i="1">
                            <a:latin typeface="Cambria Math"/>
                          </a:rPr>
                          <m:t>𝑏</m:t>
                        </m:r>
                      </m:sup>
                      <m:e>
                        <m:r>
                          <a:rPr lang="pt-BR" sz="800" b="0" i="1">
                            <a:latin typeface="Cambria Math"/>
                          </a:rPr>
                          <m:t>𝑓</m:t>
                        </m:r>
                        <m:d>
                          <m:dPr>
                            <m:ctrlPr>
                              <a:rPr lang="pt-BR" sz="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800" b="0" i="1">
                                <a:latin typeface="Cambria Math"/>
                              </a:rPr>
                              <m:t>𝑥</m:t>
                            </m:r>
                          </m:e>
                        </m:d>
                        <m:r>
                          <a:rPr lang="pt-BR" sz="800" b="0" i="1">
                            <a:latin typeface="Cambria Math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pt-BR" sz="800"/>
            </a:p>
          </xdr:txBody>
        </xdr:sp>
      </mc:Choice>
      <mc:Fallback xmlns="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4AEF4821-797D-4248-92FB-21A18040AC6C}"/>
                </a:ext>
              </a:extLst>
            </xdr:cNvPr>
            <xdr:cNvSpPr txBox="1"/>
          </xdr:nvSpPr>
          <xdr:spPr>
            <a:xfrm>
              <a:off x="2901314" y="21998940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pt-BR" sz="800" i="0">
                  <a:latin typeface="Cambria Math" panose="02040503050406030204" pitchFamily="18" charset="0"/>
                </a:rPr>
                <a:t>∫</a:t>
              </a:r>
              <a:r>
                <a:rPr lang="pt-BR" sz="800" b="0" i="0">
                  <a:latin typeface="Cambria Math" panose="02040503050406030204" pitchFamily="18" charset="0"/>
                </a:rPr>
                <a:t>_</a:t>
              </a:r>
              <a:r>
                <a:rPr lang="pt-BR" sz="800" b="0" i="0">
                  <a:latin typeface="Cambria Math"/>
                </a:rPr>
                <a:t>𝑎</a:t>
              </a:r>
              <a:r>
                <a:rPr lang="pt-BR" sz="800" b="0" i="0">
                  <a:latin typeface="Cambria Math" panose="02040503050406030204" pitchFamily="18" charset="0"/>
                </a:rPr>
                <a:t>^</a:t>
              </a:r>
              <a:r>
                <a:rPr lang="pt-BR" sz="800" b="0" i="0">
                  <a:latin typeface="Cambria Math"/>
                </a:rPr>
                <a:t>𝑏</a:t>
              </a:r>
              <a:r>
                <a:rPr lang="pt-BR" sz="800" b="0" i="0">
                  <a:latin typeface="Cambria Math" panose="02040503050406030204" pitchFamily="18" charset="0"/>
                </a:rPr>
                <a:t>▒</a:t>
              </a:r>
              <a:r>
                <a:rPr lang="pt-BR" sz="800" b="0" i="0">
                  <a:latin typeface="Cambria Math"/>
                </a:rPr>
                <a:t>𝑓</a:t>
              </a:r>
              <a:r>
                <a:rPr lang="pt-BR" sz="800" b="0" i="0">
                  <a:latin typeface="Cambria Math" panose="02040503050406030204" pitchFamily="18" charset="0"/>
                </a:rPr>
                <a:t>(</a:t>
              </a:r>
              <a:r>
                <a:rPr lang="pt-BR" sz="800" b="0" i="0">
                  <a:latin typeface="Cambria Math"/>
                </a:rPr>
                <a:t>𝑥</a:t>
              </a:r>
              <a:r>
                <a:rPr lang="pt-BR" sz="800" b="0" i="0">
                  <a:latin typeface="Cambria Math" panose="02040503050406030204" pitchFamily="18" charset="0"/>
                </a:rPr>
                <a:t>)</a:t>
              </a:r>
              <a:r>
                <a:rPr lang="pt-BR" sz="800" b="0" i="0">
                  <a:latin typeface="Cambria Math"/>
                </a:rPr>
                <a:t>𝑑𝑥</a:t>
              </a:r>
              <a:endParaRPr lang="pt-BR" sz="800"/>
            </a:p>
          </xdr:txBody>
        </xdr:sp>
      </mc:Fallback>
    </mc:AlternateContent>
    <xdr:clientData/>
  </xdr:oneCellAnchor>
  <xdr:twoCellAnchor>
    <xdr:from>
      <xdr:col>5</xdr:col>
      <xdr:colOff>411481</xdr:colOff>
      <xdr:row>119</xdr:row>
      <xdr:rowOff>0</xdr:rowOff>
    </xdr:from>
    <xdr:to>
      <xdr:col>7</xdr:col>
      <xdr:colOff>499404</xdr:colOff>
      <xdr:row>122</xdr:row>
      <xdr:rowOff>121920</xdr:rowOff>
    </xdr:to>
    <xdr:sp macro="" textlink="">
      <xdr:nvSpPr>
        <xdr:cNvPr id="24" name="Texto explicativo retangular com cantos arredondados 1">
          <a:extLst>
            <a:ext uri="{FF2B5EF4-FFF2-40B4-BE49-F238E27FC236}">
              <a16:creationId xmlns:a16="http://schemas.microsoft.com/office/drawing/2014/main" id="{90CC0622-5ED7-4EC8-9D8A-C8F717472EED}"/>
            </a:ext>
          </a:extLst>
        </xdr:cNvPr>
        <xdr:cNvSpPr/>
      </xdr:nvSpPr>
      <xdr:spPr>
        <a:xfrm>
          <a:off x="4046221" y="21816060"/>
          <a:ext cx="1368083" cy="67056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6977"/>
            <a:gd name="adj6" fmla="val -33523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Integr_ro(f(x); a; b)</a:t>
          </a:r>
        </a:p>
        <a:p>
          <a:pPr marL="0" indent="0"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5</xdr:col>
      <xdr:colOff>396240</xdr:colOff>
      <xdr:row>123</xdr:row>
      <xdr:rowOff>160020</xdr:rowOff>
    </xdr:from>
    <xdr:to>
      <xdr:col>7</xdr:col>
      <xdr:colOff>523760</xdr:colOff>
      <xdr:row>126</xdr:row>
      <xdr:rowOff>36261</xdr:rowOff>
    </xdr:to>
    <xdr:sp macro="" textlink="">
      <xdr:nvSpPr>
        <xdr:cNvPr id="25" name="Texto explicativo retangular com cantos arredondados 16">
          <a:extLst>
            <a:ext uri="{FF2B5EF4-FFF2-40B4-BE49-F238E27FC236}">
              <a16:creationId xmlns:a16="http://schemas.microsoft.com/office/drawing/2014/main" id="{1F9CD04E-38F8-43F4-908E-C965F57003BD}"/>
            </a:ext>
          </a:extLst>
        </xdr:cNvPr>
        <xdr:cNvSpPr/>
      </xdr:nvSpPr>
      <xdr:spPr>
        <a:xfrm>
          <a:off x="4030980" y="22707600"/>
          <a:ext cx="1407680" cy="42488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7100"/>
            <a:gd name="adj6" fmla="val -32180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ck/AppData/Roaming/Microsoft/AddIns/xnumbers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ck/AppData/Roaming/Microsoft/AddIns/Matrix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Category"/>
      <sheetName val="CommandBarMenu"/>
      <sheetName val="FunctionsBook"/>
      <sheetName val="setting"/>
      <sheetName val="xnumbers"/>
    </sheetNames>
    <definedNames>
      <definedName name="cspline_interp"/>
      <definedName name="integr_ro"/>
      <definedName name="IntegrDataC"/>
      <definedName name="ODE_RK4"/>
      <definedName name="prime"/>
      <definedName name="xcos"/>
      <definedName name="xe"/>
      <definedName name="xexp"/>
      <definedName name="xfact"/>
      <definedName name="xln"/>
      <definedName name="xpi"/>
      <definedName name="xsin"/>
    </defined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glio1"/>
      <sheetName val="Foglio2"/>
      <sheetName val="Foglio3"/>
    </sheetNames>
    <definedNames>
      <definedName name="GJ_step"/>
      <definedName name="m_det"/>
      <definedName name="M_POW"/>
      <definedName name="M_PROD"/>
      <definedName name="mat_lu"/>
      <definedName name="MatEigenvalue_QRC"/>
      <definedName name="MatEigenvector_C"/>
      <definedName name="Poly_Roots"/>
      <definedName name="sysli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6"/>
  <sheetViews>
    <sheetView zoomScaleNormal="100" workbookViewId="0"/>
  </sheetViews>
  <sheetFormatPr defaultRowHeight="15" x14ac:dyDescent="0.25"/>
  <sheetData>
    <row r="1" spans="1:1" x14ac:dyDescent="0.25">
      <c r="A1" t="s">
        <v>128</v>
      </c>
    </row>
    <row r="2" spans="1:1" x14ac:dyDescent="0.25">
      <c r="A2" t="s">
        <v>129</v>
      </c>
    </row>
    <row r="3" spans="1:1" x14ac:dyDescent="0.25">
      <c r="A3" t="s">
        <v>130</v>
      </c>
    </row>
    <row r="4" spans="1:1" x14ac:dyDescent="0.25">
      <c r="A4" t="s">
        <v>131</v>
      </c>
    </row>
    <row r="5" spans="1:1" x14ac:dyDescent="0.25">
      <c r="A5" t="s">
        <v>132</v>
      </c>
    </row>
    <row r="6" spans="1:1" x14ac:dyDescent="0.25">
      <c r="A6" t="s">
        <v>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L155"/>
  <sheetViews>
    <sheetView topLeftCell="A127" zoomScale="145" zoomScaleNormal="145" workbookViewId="0">
      <selection activeCell="H157" sqref="H157"/>
    </sheetView>
  </sheetViews>
  <sheetFormatPr defaultRowHeight="15" x14ac:dyDescent="0.25"/>
  <cols>
    <col min="1" max="3" width="10.140625" customWidth="1"/>
    <col min="5" max="5" width="9" customWidth="1"/>
    <col min="7" max="7" width="8.28515625" customWidth="1"/>
  </cols>
  <sheetData>
    <row r="1" spans="1:12" x14ac:dyDescent="0.25">
      <c r="A1" s="35" t="s">
        <v>3</v>
      </c>
      <c r="B1" s="35"/>
      <c r="C1" s="35"/>
      <c r="D1" s="35"/>
      <c r="E1" s="35"/>
      <c r="F1" s="35"/>
      <c r="G1" s="35"/>
    </row>
    <row r="2" spans="1:12" x14ac:dyDescent="0.25">
      <c r="A2" s="35" t="s">
        <v>112</v>
      </c>
      <c r="B2" s="35"/>
      <c r="C2" s="35"/>
      <c r="D2" s="35"/>
      <c r="E2" s="35"/>
      <c r="F2" s="35"/>
      <c r="G2" s="35"/>
      <c r="L2" t="e" cm="1">
        <f t="array" ref="L2">[2]!syslin</f>
        <v>#NAME?</v>
      </c>
    </row>
    <row r="3" spans="1:12" ht="17.25" x14ac:dyDescent="0.25">
      <c r="A3" s="35" t="s">
        <v>4</v>
      </c>
      <c r="B3" s="35"/>
      <c r="C3" s="35"/>
      <c r="D3" s="35"/>
      <c r="E3" s="35"/>
      <c r="F3" s="35"/>
      <c r="G3" s="35"/>
    </row>
    <row r="4" spans="1:12" ht="15.75" thickBot="1" x14ac:dyDescent="0.3"/>
    <row r="5" spans="1:12" ht="15.75" thickBot="1" x14ac:dyDescent="0.3">
      <c r="A5" s="32" t="s">
        <v>0</v>
      </c>
      <c r="B5" s="33"/>
      <c r="C5" s="34"/>
      <c r="E5" s="3" t="s">
        <v>1</v>
      </c>
      <c r="G5" s="3" t="s">
        <v>2</v>
      </c>
    </row>
    <row r="6" spans="1:12" x14ac:dyDescent="0.25">
      <c r="A6" s="2">
        <v>1</v>
      </c>
      <c r="B6" s="2">
        <v>1</v>
      </c>
      <c r="C6" s="2">
        <v>1</v>
      </c>
      <c r="E6" s="2">
        <v>4</v>
      </c>
      <c r="G6" s="13" cm="1">
        <f t="array" ref="G6:G8">[2]!syslin(A6:C8,E6:E8)</f>
        <v>6</v>
      </c>
    </row>
    <row r="7" spans="1:12" x14ac:dyDescent="0.25">
      <c r="A7" s="1">
        <v>1</v>
      </c>
      <c r="B7" s="1">
        <v>2</v>
      </c>
      <c r="C7" s="1">
        <v>2</v>
      </c>
      <c r="E7" s="1">
        <v>2</v>
      </c>
      <c r="G7" s="13">
        <v>-5</v>
      </c>
    </row>
    <row r="8" spans="1:12" x14ac:dyDescent="0.25">
      <c r="A8" s="1">
        <v>1</v>
      </c>
      <c r="B8" s="1">
        <v>3</v>
      </c>
      <c r="C8" s="1">
        <v>4</v>
      </c>
      <c r="E8" s="1">
        <v>3</v>
      </c>
      <c r="G8" s="13">
        <v>3</v>
      </c>
    </row>
    <row r="10" spans="1:12" x14ac:dyDescent="0.25">
      <c r="A10" s="35" t="s">
        <v>6</v>
      </c>
      <c r="B10" s="35"/>
      <c r="C10" s="35"/>
      <c r="D10" s="35"/>
      <c r="E10" s="35"/>
    </row>
    <row r="11" spans="1:12" x14ac:dyDescent="0.25">
      <c r="A11" s="35" t="s">
        <v>113</v>
      </c>
      <c r="B11" s="35"/>
      <c r="C11" s="35"/>
      <c r="D11" s="35"/>
      <c r="E11" s="35"/>
    </row>
    <row r="12" spans="1:12" x14ac:dyDescent="0.25">
      <c r="A12" s="35" t="s">
        <v>5</v>
      </c>
      <c r="B12" s="35"/>
      <c r="C12" s="35"/>
      <c r="D12" s="35"/>
      <c r="E12" s="35"/>
    </row>
    <row r="13" spans="1:12" ht="15.75" thickBot="1" x14ac:dyDescent="0.3"/>
    <row r="14" spans="1:12" ht="15.75" thickBot="1" x14ac:dyDescent="0.3">
      <c r="A14" s="32" t="s">
        <v>0</v>
      </c>
      <c r="B14" s="33"/>
      <c r="C14" s="34"/>
      <c r="E14" s="3" t="s">
        <v>5</v>
      </c>
    </row>
    <row r="15" spans="1:12" x14ac:dyDescent="0.25">
      <c r="A15" s="2">
        <v>1</v>
      </c>
      <c r="B15" s="2">
        <v>1</v>
      </c>
      <c r="C15" s="2">
        <v>1</v>
      </c>
      <c r="E15" s="18" cm="1">
        <f t="array" ref="E15">[2]!m_det(A15:C17)</f>
        <v>1</v>
      </c>
    </row>
    <row r="16" spans="1:12" x14ac:dyDescent="0.25">
      <c r="A16" s="1">
        <v>1</v>
      </c>
      <c r="B16" s="1">
        <v>2</v>
      </c>
      <c r="C16" s="1">
        <v>2</v>
      </c>
    </row>
    <row r="17" spans="1:9" x14ac:dyDescent="0.25">
      <c r="A17" s="1">
        <v>1</v>
      </c>
      <c r="B17" s="1">
        <v>3</v>
      </c>
      <c r="C17" s="1">
        <v>4</v>
      </c>
    </row>
    <row r="19" spans="1:9" x14ac:dyDescent="0.25">
      <c r="A19" s="35" t="s">
        <v>10</v>
      </c>
      <c r="B19" s="35"/>
      <c r="C19" s="35"/>
      <c r="D19" s="35"/>
      <c r="E19" s="35"/>
      <c r="F19" s="35"/>
      <c r="G19" s="35"/>
      <c r="H19" s="35"/>
      <c r="I19" s="35"/>
    </row>
    <row r="20" spans="1:9" x14ac:dyDescent="0.25">
      <c r="A20" s="35" t="s">
        <v>114</v>
      </c>
      <c r="B20" s="35"/>
      <c r="C20" s="35"/>
      <c r="D20" s="35"/>
      <c r="E20" s="35"/>
      <c r="F20" s="35"/>
      <c r="G20" s="35"/>
      <c r="H20" s="35"/>
      <c r="I20" s="35"/>
    </row>
    <row r="21" spans="1:9" x14ac:dyDescent="0.25">
      <c r="A21" s="35" t="s">
        <v>11</v>
      </c>
      <c r="B21" s="35"/>
      <c r="C21" s="35"/>
      <c r="D21" s="35"/>
      <c r="E21" s="35"/>
      <c r="F21" s="35"/>
      <c r="G21" s="35"/>
      <c r="H21" s="35"/>
      <c r="I21" s="35"/>
    </row>
    <row r="22" spans="1:9" ht="15.75" thickBot="1" x14ac:dyDescent="0.3">
      <c r="A22" s="4"/>
    </row>
    <row r="23" spans="1:9" ht="15.75" thickBot="1" x14ac:dyDescent="0.3">
      <c r="A23" s="32" t="s">
        <v>0</v>
      </c>
      <c r="B23" s="33"/>
      <c r="C23" s="34"/>
      <c r="E23" s="32" t="s">
        <v>12</v>
      </c>
      <c r="F23" s="34"/>
      <c r="H23" s="32" t="s">
        <v>13</v>
      </c>
      <c r="I23" s="34"/>
    </row>
    <row r="24" spans="1:9" x14ac:dyDescent="0.25">
      <c r="A24" s="2">
        <v>1</v>
      </c>
      <c r="B24" s="2">
        <v>2</v>
      </c>
      <c r="C24" s="2">
        <v>5</v>
      </c>
      <c r="E24" s="2">
        <v>1</v>
      </c>
      <c r="F24" s="2">
        <v>4</v>
      </c>
      <c r="H24" s="13">
        <f t="array" ref="H24:I25">[2]!M_PROD(A24:C25,E24:F26)</f>
        <v>20</v>
      </c>
      <c r="I24" s="13">
        <v>44</v>
      </c>
    </row>
    <row r="25" spans="1:9" x14ac:dyDescent="0.25">
      <c r="A25" s="1">
        <v>-1</v>
      </c>
      <c r="B25" s="1">
        <v>3</v>
      </c>
      <c r="C25" s="1">
        <v>6</v>
      </c>
      <c r="E25" s="1">
        <v>2</v>
      </c>
      <c r="F25" s="1">
        <v>5</v>
      </c>
      <c r="H25" s="14">
        <v>23</v>
      </c>
      <c r="I25" s="14">
        <v>47</v>
      </c>
    </row>
    <row r="26" spans="1:9" x14ac:dyDescent="0.25">
      <c r="E26" s="1">
        <v>3</v>
      </c>
      <c r="F26" s="1">
        <v>6</v>
      </c>
    </row>
    <row r="28" spans="1:9" x14ac:dyDescent="0.25">
      <c r="A28" s="35" t="s">
        <v>9</v>
      </c>
      <c r="B28" s="35"/>
      <c r="C28" s="35"/>
      <c r="D28" s="35"/>
      <c r="E28" s="35"/>
      <c r="F28" s="35"/>
      <c r="G28" s="35"/>
    </row>
    <row r="29" spans="1:9" x14ac:dyDescent="0.25">
      <c r="A29" s="35" t="s">
        <v>115</v>
      </c>
      <c r="B29" s="35"/>
      <c r="C29" s="35"/>
      <c r="D29" s="35"/>
      <c r="E29" s="35"/>
      <c r="F29" s="35"/>
      <c r="G29" s="35"/>
    </row>
    <row r="30" spans="1:9" ht="17.25" x14ac:dyDescent="0.25">
      <c r="A30" s="35" t="s">
        <v>7</v>
      </c>
      <c r="B30" s="35"/>
      <c r="C30" s="35"/>
      <c r="D30" s="35"/>
      <c r="E30" s="35"/>
      <c r="F30" s="35"/>
      <c r="G30" s="35"/>
    </row>
    <row r="31" spans="1:9" ht="15.75" thickBot="1" x14ac:dyDescent="0.3">
      <c r="A31" s="4"/>
    </row>
    <row r="32" spans="1:9" ht="18" thickBot="1" x14ac:dyDescent="0.3">
      <c r="A32" s="32" t="s">
        <v>0</v>
      </c>
      <c r="B32" s="33"/>
      <c r="C32" s="34"/>
      <c r="E32" s="32" t="s">
        <v>8</v>
      </c>
      <c r="F32" s="33"/>
      <c r="G32" s="34"/>
    </row>
    <row r="33" spans="1:7" x14ac:dyDescent="0.25">
      <c r="A33" s="2">
        <v>1</v>
      </c>
      <c r="B33" s="2">
        <v>1</v>
      </c>
      <c r="C33" s="2">
        <v>1</v>
      </c>
      <c r="E33" s="13">
        <f t="array" ref="E33:G35">[2]!M_POW(A33:C35,5)</f>
        <v>572</v>
      </c>
      <c r="F33" s="13">
        <v>1309</v>
      </c>
      <c r="G33" s="13">
        <v>1569</v>
      </c>
    </row>
    <row r="34" spans="1:7" x14ac:dyDescent="0.25">
      <c r="A34" s="1">
        <v>1</v>
      </c>
      <c r="B34" s="1">
        <v>2</v>
      </c>
      <c r="C34" s="1">
        <v>2</v>
      </c>
      <c r="E34" s="14">
        <v>1049</v>
      </c>
      <c r="F34" s="14">
        <v>2401</v>
      </c>
      <c r="G34" s="14">
        <v>2878</v>
      </c>
    </row>
    <row r="35" spans="1:7" x14ac:dyDescent="0.25">
      <c r="A35" s="1">
        <v>1</v>
      </c>
      <c r="B35" s="1">
        <v>3</v>
      </c>
      <c r="C35" s="1">
        <v>4</v>
      </c>
      <c r="E35" s="14">
        <v>1829</v>
      </c>
      <c r="F35" s="14">
        <v>4187</v>
      </c>
      <c r="G35" s="14">
        <v>5019</v>
      </c>
    </row>
    <row r="37" spans="1:7" x14ac:dyDescent="0.25">
      <c r="A37" s="35" t="s">
        <v>14</v>
      </c>
      <c r="B37" s="35"/>
      <c r="C37" s="35"/>
      <c r="D37" s="35"/>
    </row>
    <row r="38" spans="1:7" x14ac:dyDescent="0.25">
      <c r="A38" s="35" t="s">
        <v>116</v>
      </c>
      <c r="B38" s="35"/>
      <c r="C38" s="35"/>
      <c r="D38" s="35"/>
    </row>
    <row r="39" spans="1:7" ht="18" x14ac:dyDescent="0.25">
      <c r="A39" s="35" t="s">
        <v>15</v>
      </c>
      <c r="B39" s="35"/>
      <c r="C39" s="35"/>
      <c r="D39" s="35"/>
    </row>
    <row r="40" spans="1:7" ht="15.75" thickBot="1" x14ac:dyDescent="0.3">
      <c r="A40" s="4"/>
    </row>
    <row r="41" spans="1:7" ht="15.75" thickBot="1" x14ac:dyDescent="0.3">
      <c r="A41" s="32" t="s">
        <v>0</v>
      </c>
      <c r="B41" s="33"/>
      <c r="C41" s="34"/>
      <c r="D41" s="3" t="s">
        <v>1</v>
      </c>
    </row>
    <row r="42" spans="1:7" x14ac:dyDescent="0.25">
      <c r="A42" s="2">
        <v>0</v>
      </c>
      <c r="B42" s="2">
        <v>-10</v>
      </c>
      <c r="C42" s="2">
        <v>3</v>
      </c>
      <c r="D42" s="2">
        <v>105</v>
      </c>
    </row>
    <row r="43" spans="1:7" x14ac:dyDescent="0.25">
      <c r="A43" s="1">
        <v>2</v>
      </c>
      <c r="B43" s="1">
        <v>1</v>
      </c>
      <c r="C43" s="1">
        <v>1</v>
      </c>
      <c r="D43" s="1">
        <v>17</v>
      </c>
    </row>
    <row r="44" spans="1:7" x14ac:dyDescent="0.25">
      <c r="A44" s="1">
        <v>4</v>
      </c>
      <c r="B44" s="1">
        <v>0</v>
      </c>
      <c r="C44" s="1">
        <v>5</v>
      </c>
      <c r="D44" s="1">
        <v>91</v>
      </c>
    </row>
    <row r="46" spans="1:7" x14ac:dyDescent="0.25">
      <c r="A46" s="14">
        <f t="array" ref="A46:D48">[2]!GJ_step(A42:D44)</f>
        <v>4</v>
      </c>
      <c r="B46" s="14">
        <v>0</v>
      </c>
      <c r="C46" s="14">
        <v>5</v>
      </c>
      <c r="D46" s="14">
        <v>91</v>
      </c>
    </row>
    <row r="47" spans="1:7" x14ac:dyDescent="0.25">
      <c r="A47" s="14">
        <v>2</v>
      </c>
      <c r="B47" s="14">
        <v>1</v>
      </c>
      <c r="C47" s="14">
        <v>1</v>
      </c>
      <c r="D47" s="14">
        <v>17</v>
      </c>
    </row>
    <row r="48" spans="1:7" x14ac:dyDescent="0.25">
      <c r="A48" s="14">
        <v>0</v>
      </c>
      <c r="B48" s="14">
        <v>-10</v>
      </c>
      <c r="C48" s="14">
        <v>3</v>
      </c>
      <c r="D48" s="14">
        <v>105</v>
      </c>
    </row>
    <row r="50" spans="1:4" x14ac:dyDescent="0.25">
      <c r="A50" s="31">
        <f t="array" ref="A50:D52">[2]!GJ_step(A46:D48)</f>
        <v>4</v>
      </c>
      <c r="B50" s="31">
        <v>0</v>
      </c>
      <c r="C50" s="31">
        <v>5</v>
      </c>
      <c r="D50" s="31">
        <v>91</v>
      </c>
    </row>
    <row r="51" spans="1:4" x14ac:dyDescent="0.25">
      <c r="A51" s="31">
        <v>0</v>
      </c>
      <c r="B51" s="31">
        <v>1</v>
      </c>
      <c r="C51" s="31">
        <v>-1.5</v>
      </c>
      <c r="D51" s="31">
        <v>-28.5</v>
      </c>
    </row>
    <row r="52" spans="1:4" x14ac:dyDescent="0.25">
      <c r="A52" s="31">
        <v>0</v>
      </c>
      <c r="B52" s="31">
        <v>-10</v>
      </c>
      <c r="C52" s="31">
        <v>3</v>
      </c>
      <c r="D52" s="31">
        <v>105</v>
      </c>
    </row>
    <row r="54" spans="1:4" x14ac:dyDescent="0.25">
      <c r="A54" s="31">
        <f t="array" ref="A54:D56">[2]!GJ_step(A50:D52)</f>
        <v>4</v>
      </c>
      <c r="B54" s="31">
        <v>0</v>
      </c>
      <c r="C54" s="31">
        <v>5</v>
      </c>
      <c r="D54" s="31">
        <v>91</v>
      </c>
    </row>
    <row r="55" spans="1:4" x14ac:dyDescent="0.25">
      <c r="A55" s="31">
        <v>0</v>
      </c>
      <c r="B55" s="31">
        <v>-10</v>
      </c>
      <c r="C55" s="31">
        <v>3</v>
      </c>
      <c r="D55" s="31">
        <v>105</v>
      </c>
    </row>
    <row r="56" spans="1:4" x14ac:dyDescent="0.25">
      <c r="A56" s="31">
        <v>0</v>
      </c>
      <c r="B56" s="31">
        <v>1</v>
      </c>
      <c r="C56" s="31">
        <v>-1.5</v>
      </c>
      <c r="D56" s="31">
        <v>-28.5</v>
      </c>
    </row>
    <row r="58" spans="1:4" x14ac:dyDescent="0.25">
      <c r="A58" s="31">
        <f t="array" ref="A58:D60">[2]!GJ_step(A54:D56)</f>
        <v>4</v>
      </c>
      <c r="B58" s="31">
        <v>0</v>
      </c>
      <c r="C58" s="31">
        <v>5</v>
      </c>
      <c r="D58" s="31">
        <v>91</v>
      </c>
    </row>
    <row r="59" spans="1:4" x14ac:dyDescent="0.25">
      <c r="A59" s="31">
        <v>0</v>
      </c>
      <c r="B59" s="31">
        <v>-10</v>
      </c>
      <c r="C59" s="31">
        <v>3</v>
      </c>
      <c r="D59" s="31">
        <v>105</v>
      </c>
    </row>
    <row r="60" spans="1:4" x14ac:dyDescent="0.25">
      <c r="A60" s="31">
        <v>0</v>
      </c>
      <c r="B60" s="31">
        <v>0</v>
      </c>
      <c r="C60" s="31">
        <v>-1.2</v>
      </c>
      <c r="D60" s="31">
        <v>-18</v>
      </c>
    </row>
    <row r="62" spans="1:4" x14ac:dyDescent="0.25">
      <c r="A62" s="31">
        <f t="array" ref="A62:D64">[2]!GJ_step(A58:D60)</f>
        <v>4</v>
      </c>
      <c r="B62" s="31">
        <v>0</v>
      </c>
      <c r="C62" s="31">
        <v>0</v>
      </c>
      <c r="D62" s="31">
        <v>16</v>
      </c>
    </row>
    <row r="63" spans="1:4" x14ac:dyDescent="0.25">
      <c r="A63" s="31">
        <v>0</v>
      </c>
      <c r="B63" s="31">
        <v>-10</v>
      </c>
      <c r="C63" s="31">
        <v>3</v>
      </c>
      <c r="D63" s="31">
        <v>105</v>
      </c>
    </row>
    <row r="64" spans="1:4" x14ac:dyDescent="0.25">
      <c r="A64" s="31">
        <v>0</v>
      </c>
      <c r="B64" s="31">
        <v>0</v>
      </c>
      <c r="C64" s="31">
        <v>-1.2</v>
      </c>
      <c r="D64" s="31">
        <v>-18</v>
      </c>
    </row>
    <row r="66" spans="1:6" x14ac:dyDescent="0.25">
      <c r="A66" s="31">
        <f t="array" ref="A66:D68">[2]!GJ_step(A62:D64)</f>
        <v>4</v>
      </c>
      <c r="B66" s="31">
        <v>0</v>
      </c>
      <c r="C66" s="31">
        <v>0</v>
      </c>
      <c r="D66" s="31">
        <v>16</v>
      </c>
    </row>
    <row r="67" spans="1:6" x14ac:dyDescent="0.25">
      <c r="A67" s="31">
        <v>0</v>
      </c>
      <c r="B67" s="31">
        <v>-10</v>
      </c>
      <c r="C67" s="31">
        <v>0</v>
      </c>
      <c r="D67" s="31">
        <v>60</v>
      </c>
    </row>
    <row r="68" spans="1:6" x14ac:dyDescent="0.25">
      <c r="A68" s="31">
        <v>0</v>
      </c>
      <c r="B68" s="31">
        <v>0</v>
      </c>
      <c r="C68" s="31">
        <v>-1.2</v>
      </c>
      <c r="D68" s="31">
        <v>-18</v>
      </c>
    </row>
    <row r="70" spans="1:6" x14ac:dyDescent="0.25">
      <c r="A70" s="31">
        <f t="array" ref="A70:D72">[2]!GJ_step(A66:D68)</f>
        <v>1</v>
      </c>
      <c r="B70" s="31">
        <v>0</v>
      </c>
      <c r="C70" s="31">
        <v>0</v>
      </c>
      <c r="D70" s="31">
        <v>4</v>
      </c>
    </row>
    <row r="71" spans="1:6" x14ac:dyDescent="0.25">
      <c r="A71" s="31">
        <v>0</v>
      </c>
      <c r="B71" s="31">
        <v>1</v>
      </c>
      <c r="C71" s="31">
        <v>0</v>
      </c>
      <c r="D71" s="31">
        <v>-6</v>
      </c>
    </row>
    <row r="72" spans="1:6" ht="15.75" thickBot="1" x14ac:dyDescent="0.3">
      <c r="A72" s="31">
        <v>0</v>
      </c>
      <c r="B72" s="31">
        <v>0</v>
      </c>
      <c r="C72" s="31">
        <v>1</v>
      </c>
      <c r="D72" s="31">
        <v>15</v>
      </c>
    </row>
    <row r="73" spans="1:6" ht="15.75" thickBot="1" x14ac:dyDescent="0.3">
      <c r="D73" s="3" t="s">
        <v>2</v>
      </c>
    </row>
    <row r="75" spans="1:6" x14ac:dyDescent="0.25">
      <c r="A75" s="35" t="s">
        <v>16</v>
      </c>
      <c r="B75" s="35"/>
      <c r="C75" s="35"/>
      <c r="D75" s="35"/>
      <c r="E75" s="35"/>
      <c r="F75" s="35"/>
    </row>
    <row r="76" spans="1:6" x14ac:dyDescent="0.25">
      <c r="A76" s="35" t="s">
        <v>117</v>
      </c>
      <c r="B76" s="35"/>
      <c r="C76" s="35"/>
      <c r="D76" s="35"/>
      <c r="E76" s="35"/>
      <c r="F76" s="35"/>
    </row>
    <row r="77" spans="1:6" x14ac:dyDescent="0.25">
      <c r="A77" s="35" t="s">
        <v>17</v>
      </c>
      <c r="B77" s="35"/>
      <c r="C77" s="35"/>
      <c r="D77" s="35"/>
      <c r="E77" s="35"/>
      <c r="F77" s="35"/>
    </row>
    <row r="78" spans="1:6" ht="15.75" thickBot="1" x14ac:dyDescent="0.3">
      <c r="A78" s="4"/>
    </row>
    <row r="79" spans="1:6" ht="15.75" thickBot="1" x14ac:dyDescent="0.3">
      <c r="A79" s="32" t="s">
        <v>0</v>
      </c>
      <c r="B79" s="33"/>
      <c r="C79" s="34"/>
    </row>
    <row r="80" spans="1:6" x14ac:dyDescent="0.25">
      <c r="A80" s="2">
        <v>5</v>
      </c>
      <c r="B80" s="2">
        <v>2</v>
      </c>
      <c r="C80" s="2">
        <v>4</v>
      </c>
    </row>
    <row r="81" spans="1:7" x14ac:dyDescent="0.25">
      <c r="A81" s="1">
        <v>2</v>
      </c>
      <c r="B81" s="1">
        <v>3</v>
      </c>
      <c r="C81" s="1">
        <v>-1</v>
      </c>
    </row>
    <row r="82" spans="1:7" x14ac:dyDescent="0.25">
      <c r="A82" s="1">
        <v>-1</v>
      </c>
      <c r="B82" s="1">
        <v>0</v>
      </c>
      <c r="C82" s="1">
        <v>1</v>
      </c>
    </row>
    <row r="83" spans="1:7" ht="15.75" thickBot="1" x14ac:dyDescent="0.3"/>
    <row r="84" spans="1:7" ht="15.75" thickBot="1" x14ac:dyDescent="0.3">
      <c r="A84" s="32" t="s">
        <v>18</v>
      </c>
      <c r="B84" s="33"/>
      <c r="C84" s="34"/>
      <c r="D84" s="32" t="s">
        <v>19</v>
      </c>
      <c r="E84" s="33"/>
      <c r="F84" s="34"/>
    </row>
    <row r="85" spans="1:7" x14ac:dyDescent="0.25">
      <c r="A85" s="50">
        <f t="array" ref="A85:F87">[2]!mat_lu(A80:C82)</f>
        <v>1</v>
      </c>
      <c r="B85" s="52">
        <v>0</v>
      </c>
      <c r="C85" s="52">
        <v>0</v>
      </c>
      <c r="D85" s="19">
        <v>5</v>
      </c>
      <c r="E85" s="19">
        <v>2</v>
      </c>
      <c r="F85" s="19">
        <v>4</v>
      </c>
    </row>
    <row r="86" spans="1:7" x14ac:dyDescent="0.25">
      <c r="A86" s="54">
        <v>0.4</v>
      </c>
      <c r="B86" s="51">
        <v>1</v>
      </c>
      <c r="C86" s="53">
        <v>0</v>
      </c>
      <c r="D86" s="53">
        <v>0</v>
      </c>
      <c r="E86" s="20">
        <v>2.2000000000000002</v>
      </c>
      <c r="F86" s="20">
        <v>-2.6</v>
      </c>
    </row>
    <row r="87" spans="1:7" x14ac:dyDescent="0.25">
      <c r="A87" s="54">
        <v>-0.2</v>
      </c>
      <c r="B87" s="54">
        <v>0.18181818181818182</v>
      </c>
      <c r="C87" s="51">
        <v>1</v>
      </c>
      <c r="D87" s="53">
        <v>0</v>
      </c>
      <c r="E87" s="53">
        <v>0</v>
      </c>
      <c r="F87" s="20">
        <v>2.2727272727272729</v>
      </c>
    </row>
    <row r="88" spans="1:7" ht="15.75" thickBot="1" x14ac:dyDescent="0.3"/>
    <row r="89" spans="1:7" ht="15.75" thickBot="1" x14ac:dyDescent="0.3">
      <c r="A89" s="32" t="s">
        <v>20</v>
      </c>
      <c r="B89" s="33"/>
      <c r="C89" s="34"/>
    </row>
    <row r="90" spans="1:7" x14ac:dyDescent="0.25">
      <c r="A90" s="13">
        <f t="array" ref="A90:C92">[2]!M_PROD(A85:C87,D85:F87)</f>
        <v>5</v>
      </c>
      <c r="B90" s="13">
        <v>2</v>
      </c>
      <c r="C90" s="13">
        <v>4</v>
      </c>
    </row>
    <row r="91" spans="1:7" x14ac:dyDescent="0.25">
      <c r="A91" s="14">
        <v>2</v>
      </c>
      <c r="B91" s="14">
        <v>3</v>
      </c>
      <c r="C91" s="14">
        <v>-1</v>
      </c>
    </row>
    <row r="92" spans="1:7" x14ac:dyDescent="0.25">
      <c r="A92" s="14">
        <v>-1</v>
      </c>
      <c r="B92" s="14">
        <v>0</v>
      </c>
      <c r="C92" s="14">
        <v>1</v>
      </c>
    </row>
    <row r="94" spans="1:7" x14ac:dyDescent="0.25">
      <c r="A94" s="35" t="s">
        <v>37</v>
      </c>
      <c r="B94" s="35"/>
      <c r="C94" s="35"/>
      <c r="D94" s="35"/>
      <c r="E94" s="35"/>
      <c r="F94" s="35"/>
      <c r="G94" s="35"/>
    </row>
    <row r="95" spans="1:7" x14ac:dyDescent="0.25">
      <c r="A95" s="35" t="s">
        <v>126</v>
      </c>
      <c r="B95" s="35"/>
      <c r="C95" s="35"/>
      <c r="D95" s="35"/>
      <c r="E95" s="35"/>
      <c r="F95" s="35"/>
      <c r="G95" s="35"/>
    </row>
    <row r="96" spans="1:7" x14ac:dyDescent="0.25">
      <c r="A96" s="35" t="s">
        <v>125</v>
      </c>
      <c r="B96" s="35"/>
      <c r="C96" s="35"/>
      <c r="D96" s="35"/>
      <c r="E96" s="35"/>
      <c r="F96" s="35"/>
      <c r="G96" s="35"/>
    </row>
    <row r="99" spans="1:7" x14ac:dyDescent="0.25">
      <c r="A99" s="5" t="s">
        <v>38</v>
      </c>
      <c r="B99" s="30" t="s">
        <v>25</v>
      </c>
    </row>
    <row r="100" spans="1:7" x14ac:dyDescent="0.25">
      <c r="A100" s="5" t="s">
        <v>39</v>
      </c>
      <c r="B100" s="30" t="s">
        <v>140</v>
      </c>
    </row>
    <row r="101" spans="1:7" x14ac:dyDescent="0.25">
      <c r="A101" s="5" t="s">
        <v>40</v>
      </c>
      <c r="B101" s="21" t="str">
        <f>COMPLEX(-2,3,"i")</f>
        <v>-2+3i</v>
      </c>
    </row>
    <row r="103" spans="1:7" x14ac:dyDescent="0.25">
      <c r="A103" s="37" t="s">
        <v>54</v>
      </c>
      <c r="B103" s="5" t="s">
        <v>41</v>
      </c>
      <c r="C103" s="42" t="str">
        <f>IMSUM(B99:B100)</f>
        <v>-2+7j</v>
      </c>
      <c r="D103" s="42"/>
      <c r="E103" s="42"/>
      <c r="F103" s="42"/>
      <c r="G103" s="42"/>
    </row>
    <row r="104" spans="1:7" x14ac:dyDescent="0.25">
      <c r="A104" s="38"/>
      <c r="B104" s="5" t="s">
        <v>42</v>
      </c>
      <c r="C104" s="41" t="str">
        <f>IMSUB(B99,B100)</f>
        <v>4-3j</v>
      </c>
      <c r="D104" s="41"/>
      <c r="E104" s="41"/>
      <c r="F104" s="41"/>
      <c r="G104" s="41"/>
    </row>
    <row r="105" spans="1:7" x14ac:dyDescent="0.25">
      <c r="A105" s="38"/>
      <c r="B105" s="5" t="s">
        <v>43</v>
      </c>
      <c r="C105" s="41" t="str">
        <f>IMPRODUCT(B99:B100)</f>
        <v>-13-j</v>
      </c>
      <c r="D105" s="41"/>
      <c r="E105" s="41"/>
      <c r="F105" s="41"/>
      <c r="G105" s="41"/>
    </row>
    <row r="106" spans="1:7" x14ac:dyDescent="0.25">
      <c r="A106" s="39"/>
      <c r="B106" s="5" t="s">
        <v>44</v>
      </c>
      <c r="C106" s="41" t="str">
        <f>IMDIV(B99,B100)</f>
        <v>0,205882352941176-0,323529411764706j</v>
      </c>
      <c r="D106" s="41"/>
      <c r="E106" s="41"/>
      <c r="F106" s="41"/>
      <c r="G106" s="41"/>
    </row>
    <row r="107" spans="1:7" ht="14.45" customHeight="1" x14ac:dyDescent="0.25">
      <c r="A107" s="40" t="s">
        <v>55</v>
      </c>
      <c r="B107" s="5" t="s">
        <v>45</v>
      </c>
      <c r="C107" s="41" t="str">
        <f>IMLN(B99)</f>
        <v>0,80471895621705+1,10714871779409j</v>
      </c>
      <c r="D107" s="41"/>
      <c r="E107" s="41"/>
      <c r="F107" s="41"/>
      <c r="G107" s="41"/>
    </row>
    <row r="108" spans="1:7" x14ac:dyDescent="0.25">
      <c r="A108" s="40"/>
      <c r="B108" s="5" t="s">
        <v>46</v>
      </c>
      <c r="C108" s="41" t="str">
        <f>IMLOG10(B100)</f>
        <v>0,765739458521128+0,916889383801348j</v>
      </c>
      <c r="D108" s="41"/>
      <c r="E108" s="41"/>
      <c r="F108" s="41"/>
      <c r="G108" s="41"/>
    </row>
    <row r="109" spans="1:7" x14ac:dyDescent="0.25">
      <c r="A109" s="40"/>
      <c r="B109" s="5" t="s">
        <v>47</v>
      </c>
      <c r="C109" s="41" t="str">
        <f>IMLOG2(B101)</f>
        <v>1,85021985907055+3,11448851108147i</v>
      </c>
      <c r="D109" s="41"/>
      <c r="E109" s="41"/>
      <c r="F109" s="41"/>
      <c r="G109" s="41"/>
    </row>
    <row r="110" spans="1:7" ht="17.25" x14ac:dyDescent="0.25">
      <c r="A110" s="40"/>
      <c r="B110" s="5" t="s">
        <v>48</v>
      </c>
      <c r="C110" s="41" t="str">
        <f>IMEXP(B101)</f>
        <v>-0,133980914929543+0,0190985162611352i</v>
      </c>
      <c r="D110" s="41"/>
      <c r="E110" s="41"/>
      <c r="F110" s="41"/>
      <c r="G110" s="41"/>
    </row>
    <row r="111" spans="1:7" x14ac:dyDescent="0.25">
      <c r="A111" s="40"/>
      <c r="B111" s="5" t="s">
        <v>49</v>
      </c>
      <c r="C111" s="41" t="str">
        <f>IMSIN(B101)</f>
        <v>-9,15449914691143-4,16890695996656i</v>
      </c>
      <c r="D111" s="41"/>
      <c r="E111" s="41"/>
      <c r="F111" s="41"/>
      <c r="G111" s="41"/>
    </row>
    <row r="112" spans="1:7" x14ac:dyDescent="0.25">
      <c r="A112" s="40"/>
      <c r="B112" s="5" t="s">
        <v>50</v>
      </c>
      <c r="C112" s="41" t="str">
        <f>IMCOS(B101)</f>
        <v>-4,18962569096881+9,10922789375534i</v>
      </c>
      <c r="D112" s="41"/>
      <c r="E112" s="41"/>
      <c r="F112" s="41"/>
      <c r="G112" s="41"/>
    </row>
    <row r="113" spans="1:8" ht="16.149999999999999" customHeight="1" x14ac:dyDescent="0.25">
      <c r="A113" s="40"/>
      <c r="B113" s="5" t="s">
        <v>51</v>
      </c>
      <c r="C113" s="41" t="str">
        <f>IMCONJUGATE(B99)</f>
        <v>1-2j</v>
      </c>
      <c r="D113" s="41"/>
      <c r="E113" s="41"/>
      <c r="F113" s="41"/>
      <c r="G113" s="41"/>
    </row>
    <row r="114" spans="1:8" x14ac:dyDescent="0.25">
      <c r="A114" s="40"/>
      <c r="B114" s="5" t="s">
        <v>52</v>
      </c>
      <c r="C114" s="41">
        <f>IMABS(B101)</f>
        <v>3.6055512754639896</v>
      </c>
      <c r="D114" s="41"/>
      <c r="E114" s="41"/>
      <c r="F114" s="41"/>
      <c r="G114" s="41"/>
    </row>
    <row r="115" spans="1:8" ht="17.25" x14ac:dyDescent="0.25">
      <c r="A115" s="40"/>
      <c r="B115" s="5" t="s">
        <v>53</v>
      </c>
      <c r="C115" s="41" t="str">
        <f>IMPOWER(B101,3)</f>
        <v>46+8,99999999999999i</v>
      </c>
      <c r="D115" s="41"/>
      <c r="E115" s="41"/>
      <c r="F115" s="41"/>
      <c r="G115" s="41"/>
    </row>
    <row r="117" spans="1:8" x14ac:dyDescent="0.25">
      <c r="A117" s="35" t="s">
        <v>57</v>
      </c>
      <c r="B117" s="35"/>
      <c r="C117" s="35"/>
      <c r="D117" s="35"/>
      <c r="E117" s="35"/>
      <c r="F117" s="35"/>
      <c r="G117" s="35"/>
    </row>
    <row r="118" spans="1:8" x14ac:dyDescent="0.25">
      <c r="A118" s="35" t="s">
        <v>118</v>
      </c>
      <c r="B118" s="35"/>
      <c r="C118" s="35"/>
      <c r="D118" s="35"/>
      <c r="E118" s="35"/>
      <c r="F118" s="35"/>
      <c r="G118" s="35"/>
    </row>
    <row r="119" spans="1:8" x14ac:dyDescent="0.25">
      <c r="A119" s="35" t="s">
        <v>33</v>
      </c>
      <c r="B119" s="35"/>
      <c r="C119" s="35"/>
      <c r="D119" s="35"/>
      <c r="E119" s="35"/>
      <c r="F119" s="35"/>
      <c r="G119" s="35"/>
    </row>
    <row r="121" spans="1:8" ht="18" x14ac:dyDescent="0.25">
      <c r="A121" s="36" t="s">
        <v>0</v>
      </c>
      <c r="B121" s="36"/>
      <c r="C121" s="36"/>
      <c r="D121" s="36"/>
      <c r="F121" s="5" t="s">
        <v>34</v>
      </c>
      <c r="G121" s="5" t="s">
        <v>35</v>
      </c>
    </row>
    <row r="122" spans="1:8" x14ac:dyDescent="0.25">
      <c r="A122" s="6" t="s">
        <v>21</v>
      </c>
      <c r="B122" s="6" t="s">
        <v>22</v>
      </c>
      <c r="C122" s="6" t="s">
        <v>23</v>
      </c>
      <c r="D122" s="6" t="s">
        <v>24</v>
      </c>
      <c r="E122">
        <v>1</v>
      </c>
      <c r="F122" s="13" cm="1">
        <f t="array" ref="F122:G125">[2]!MatEigenvalue_QRC(A122:D125,3)</f>
        <v>0</v>
      </c>
      <c r="G122" s="13">
        <v>-1.9999999999999962</v>
      </c>
    </row>
    <row r="123" spans="1:8" x14ac:dyDescent="0.25">
      <c r="A123" s="6" t="s">
        <v>25</v>
      </c>
      <c r="B123" s="6" t="s">
        <v>56</v>
      </c>
      <c r="C123" s="6" t="s">
        <v>25</v>
      </c>
      <c r="D123" s="6" t="s">
        <v>26</v>
      </c>
      <c r="E123">
        <v>2</v>
      </c>
      <c r="F123" s="13">
        <v>0</v>
      </c>
      <c r="G123" s="13">
        <v>1.0000000000000007</v>
      </c>
    </row>
    <row r="124" spans="1:8" x14ac:dyDescent="0.25">
      <c r="A124" s="6" t="s">
        <v>27</v>
      </c>
      <c r="B124" s="6" t="s">
        <v>28</v>
      </c>
      <c r="C124" s="6" t="s">
        <v>36</v>
      </c>
      <c r="D124" s="6" t="s">
        <v>29</v>
      </c>
      <c r="E124">
        <v>3</v>
      </c>
      <c r="F124" s="13">
        <v>1.0000000000000004</v>
      </c>
      <c r="G124" s="13">
        <v>3.0000000000000031</v>
      </c>
    </row>
    <row r="125" spans="1:8" x14ac:dyDescent="0.25">
      <c r="A125" s="6" t="s">
        <v>30</v>
      </c>
      <c r="B125" s="6" t="s">
        <v>31</v>
      </c>
      <c r="C125" s="6" t="s">
        <v>30</v>
      </c>
      <c r="D125" s="6" t="s">
        <v>32</v>
      </c>
      <c r="E125">
        <v>4</v>
      </c>
      <c r="F125" s="13">
        <v>3.9999999999999991</v>
      </c>
      <c r="G125" s="13">
        <v>0</v>
      </c>
    </row>
    <row r="127" spans="1:8" x14ac:dyDescent="0.25">
      <c r="A127" s="35" t="s">
        <v>63</v>
      </c>
      <c r="B127" s="35"/>
      <c r="C127" s="35"/>
      <c r="D127" s="35"/>
      <c r="E127" s="35"/>
      <c r="F127" s="35"/>
      <c r="G127" s="35"/>
      <c r="H127" s="35"/>
    </row>
    <row r="128" spans="1:8" x14ac:dyDescent="0.25">
      <c r="A128" s="35" t="s">
        <v>120</v>
      </c>
      <c r="B128" s="35"/>
      <c r="C128" s="35"/>
      <c r="D128" s="35"/>
      <c r="E128" s="35"/>
      <c r="F128" s="35"/>
      <c r="G128" s="35"/>
      <c r="H128" s="35"/>
    </row>
    <row r="129" spans="1:8" x14ac:dyDescent="0.25">
      <c r="A129" s="35" t="s">
        <v>33</v>
      </c>
      <c r="B129" s="35"/>
      <c r="C129" s="35"/>
      <c r="D129" s="35"/>
      <c r="E129" s="35"/>
      <c r="F129" s="35"/>
      <c r="G129" s="35"/>
      <c r="H129" s="35"/>
    </row>
    <row r="131" spans="1:8" ht="18" x14ac:dyDescent="0.25">
      <c r="A131" s="36" t="s">
        <v>119</v>
      </c>
      <c r="B131" s="36"/>
      <c r="C131" s="36"/>
      <c r="D131" s="36"/>
      <c r="E131" s="36"/>
      <c r="F131" s="36"/>
      <c r="G131" s="36"/>
      <c r="H131" s="36"/>
    </row>
    <row r="132" spans="1:8" ht="18" x14ac:dyDescent="0.25">
      <c r="A132" s="36" t="s">
        <v>134</v>
      </c>
      <c r="B132" s="36"/>
      <c r="C132" s="36"/>
      <c r="D132" s="36"/>
      <c r="E132" s="36" t="s">
        <v>135</v>
      </c>
      <c r="F132" s="36"/>
      <c r="G132" s="36"/>
      <c r="H132" s="36"/>
    </row>
    <row r="133" spans="1:8" x14ac:dyDescent="0.25">
      <c r="A133" s="7">
        <f>IMREAL(A122)</f>
        <v>4</v>
      </c>
      <c r="B133" s="7">
        <f>IMREAL(B122)</f>
        <v>2</v>
      </c>
      <c r="C133" s="7">
        <f>IMREAL(C122)</f>
        <v>4</v>
      </c>
      <c r="D133" s="7">
        <f>IMREAL(D122)</f>
        <v>5</v>
      </c>
      <c r="E133" s="7">
        <f>IMAGINARY(A122)</f>
        <v>3</v>
      </c>
      <c r="F133" s="7">
        <f t="shared" ref="F133:H133" si="0">IMAGINARY(B122)</f>
        <v>-4</v>
      </c>
      <c r="G133" s="7">
        <f t="shared" si="0"/>
        <v>5</v>
      </c>
      <c r="H133" s="7">
        <f t="shared" si="0"/>
        <v>-4</v>
      </c>
    </row>
    <row r="134" spans="1:8" x14ac:dyDescent="0.25">
      <c r="A134" s="7">
        <f t="shared" ref="A134:C134" si="1">IMREAL(A123)</f>
        <v>1</v>
      </c>
      <c r="B134" s="7">
        <f t="shared" si="1"/>
        <v>2</v>
      </c>
      <c r="C134" s="7">
        <f t="shared" si="1"/>
        <v>1</v>
      </c>
      <c r="D134" s="7">
        <f t="shared" ref="D134" si="2">IMREAL(D123)</f>
        <v>2</v>
      </c>
      <c r="E134" s="7">
        <f t="shared" ref="E134:E136" si="3">IMAGINARY(A123)</f>
        <v>2</v>
      </c>
      <c r="F134" s="7">
        <f t="shared" ref="F134:F136" si="4">IMAGINARY(B123)</f>
        <v>0</v>
      </c>
      <c r="G134" s="7">
        <f t="shared" ref="G134:G136" si="5">IMAGINARY(C123)</f>
        <v>2</v>
      </c>
      <c r="H134" s="7">
        <f t="shared" ref="H134:H136" si="6">IMAGINARY(D123)</f>
        <v>-1</v>
      </c>
    </row>
    <row r="135" spans="1:8" x14ac:dyDescent="0.25">
      <c r="A135" s="7">
        <f t="shared" ref="A135:C135" si="7">IMREAL(A124)</f>
        <v>-2</v>
      </c>
      <c r="B135" s="7">
        <f t="shared" si="7"/>
        <v>4</v>
      </c>
      <c r="C135" s="7">
        <f t="shared" si="7"/>
        <v>-2</v>
      </c>
      <c r="D135" s="7">
        <f t="shared" ref="D135" si="8">IMREAL(D124)</f>
        <v>2</v>
      </c>
      <c r="E135" s="7">
        <f t="shared" si="3"/>
        <v>4</v>
      </c>
      <c r="F135" s="7">
        <f t="shared" si="4"/>
        <v>2</v>
      </c>
      <c r="G135" s="7">
        <f t="shared" si="5"/>
        <v>2</v>
      </c>
      <c r="H135" s="7">
        <f t="shared" si="6"/>
        <v>6</v>
      </c>
    </row>
    <row r="136" spans="1:8" x14ac:dyDescent="0.25">
      <c r="A136" s="7">
        <f t="shared" ref="A136:C136" si="9">IMREAL(A125)</f>
        <v>3</v>
      </c>
      <c r="B136" s="7">
        <f t="shared" si="9"/>
        <v>-3</v>
      </c>
      <c r="C136" s="7">
        <f t="shared" si="9"/>
        <v>3</v>
      </c>
      <c r="D136" s="7">
        <f t="shared" ref="D136" si="10">IMREAL(D125)</f>
        <v>1</v>
      </c>
      <c r="E136" s="7">
        <f t="shared" si="3"/>
        <v>-3</v>
      </c>
      <c r="F136" s="7">
        <f t="shared" si="4"/>
        <v>-3</v>
      </c>
      <c r="G136" s="7">
        <f t="shared" si="5"/>
        <v>-3</v>
      </c>
      <c r="H136" s="7">
        <f t="shared" si="6"/>
        <v>-3</v>
      </c>
    </row>
    <row r="138" spans="1:8" x14ac:dyDescent="0.25">
      <c r="A138" s="36" t="s">
        <v>60</v>
      </c>
      <c r="B138" s="36"/>
      <c r="C138" s="36" t="s">
        <v>61</v>
      </c>
      <c r="D138" s="36"/>
      <c r="E138" s="36"/>
    </row>
    <row r="139" spans="1:8" ht="18" x14ac:dyDescent="0.25">
      <c r="A139" s="12" t="s">
        <v>34</v>
      </c>
      <c r="B139" s="12" t="s">
        <v>35</v>
      </c>
      <c r="C139" s="12" t="s">
        <v>58</v>
      </c>
      <c r="D139" s="12" t="s">
        <v>59</v>
      </c>
      <c r="E139" s="12" t="s">
        <v>62</v>
      </c>
    </row>
    <row r="140" spans="1:8" x14ac:dyDescent="0.25">
      <c r="A140" s="1">
        <v>0</v>
      </c>
      <c r="B140" s="1">
        <v>-1.9999999999999962</v>
      </c>
      <c r="C140" s="14">
        <f t="array" ref="C140:D143">[2]!MatEigenvector_C($A$133:$H$136,A140:B140)</f>
        <v>-1.0000000000000007</v>
      </c>
      <c r="D140" s="14">
        <v>0</v>
      </c>
      <c r="E140" s="24" t="str">
        <f>COMPLEX(C140,D140,"j")</f>
        <v>-1</v>
      </c>
    </row>
    <row r="141" spans="1:8" x14ac:dyDescent="0.25">
      <c r="A141" s="25"/>
      <c r="B141" s="23"/>
      <c r="C141" s="14">
        <v>0</v>
      </c>
      <c r="D141" s="14">
        <v>0</v>
      </c>
      <c r="E141" s="24" t="str">
        <f t="shared" ref="E141:E155" si="11">COMPLEX(C141,D141,"j")</f>
        <v>0</v>
      </c>
    </row>
    <row r="142" spans="1:8" x14ac:dyDescent="0.25">
      <c r="A142" s="25"/>
      <c r="B142" s="23"/>
      <c r="C142" s="14">
        <v>1</v>
      </c>
      <c r="D142" s="14">
        <v>0</v>
      </c>
      <c r="E142" s="24" t="str">
        <f t="shared" si="11"/>
        <v>1</v>
      </c>
    </row>
    <row r="143" spans="1:8" x14ac:dyDescent="0.25">
      <c r="A143" s="25"/>
      <c r="B143" s="23"/>
      <c r="C143" s="14">
        <v>0</v>
      </c>
      <c r="D143" s="14">
        <v>0</v>
      </c>
      <c r="E143" s="24" t="str">
        <f t="shared" si="11"/>
        <v>0</v>
      </c>
    </row>
    <row r="144" spans="1:8" x14ac:dyDescent="0.25">
      <c r="A144" s="1">
        <v>0</v>
      </c>
      <c r="B144" s="1">
        <v>1</v>
      </c>
      <c r="C144" s="31">
        <f t="array" ref="C144:D147">[2]!MatEigenvector_C($A$133:$H$136,A144:B144)</f>
        <v>1</v>
      </c>
      <c r="D144" s="31">
        <v>0</v>
      </c>
      <c r="E144" s="24" t="str">
        <f t="shared" si="11"/>
        <v>1</v>
      </c>
    </row>
    <row r="145" spans="1:5" x14ac:dyDescent="0.25">
      <c r="A145" s="25"/>
      <c r="B145" s="23"/>
      <c r="C145" s="31">
        <v>0</v>
      </c>
      <c r="D145" s="31">
        <v>-1</v>
      </c>
      <c r="E145" s="24" t="str">
        <f t="shared" si="11"/>
        <v>-j</v>
      </c>
    </row>
    <row r="146" spans="1:5" x14ac:dyDescent="0.25">
      <c r="A146" s="25"/>
      <c r="B146" s="23"/>
      <c r="C146" s="31">
        <v>0</v>
      </c>
      <c r="D146" s="31">
        <v>0</v>
      </c>
      <c r="E146" s="24" t="str">
        <f t="shared" si="11"/>
        <v>0</v>
      </c>
    </row>
    <row r="147" spans="1:5" x14ac:dyDescent="0.25">
      <c r="A147" s="25"/>
      <c r="B147" s="23"/>
      <c r="C147" s="31">
        <v>0</v>
      </c>
      <c r="D147" s="31">
        <v>0</v>
      </c>
      <c r="E147" s="24" t="str">
        <f t="shared" si="11"/>
        <v>0</v>
      </c>
    </row>
    <row r="148" spans="1:5" x14ac:dyDescent="0.25">
      <c r="A148" s="1">
        <v>1</v>
      </c>
      <c r="B148" s="1">
        <v>3</v>
      </c>
      <c r="C148" s="31">
        <f t="array" ref="C148:D151">[2]!MatEigenvector_C($A$133:$H$136,A148:B148)</f>
        <v>-1</v>
      </c>
      <c r="D148" s="31">
        <v>0</v>
      </c>
      <c r="E148" s="24" t="str">
        <f t="shared" si="11"/>
        <v>-1</v>
      </c>
    </row>
    <row r="149" spans="1:5" x14ac:dyDescent="0.25">
      <c r="A149" s="25"/>
      <c r="B149" s="23"/>
      <c r="C149" s="31">
        <v>-1</v>
      </c>
      <c r="D149" s="31">
        <v>0</v>
      </c>
      <c r="E149" s="24" t="str">
        <f t="shared" si="11"/>
        <v>-1</v>
      </c>
    </row>
    <row r="150" spans="1:5" x14ac:dyDescent="0.25">
      <c r="A150" s="25"/>
      <c r="B150" s="23"/>
      <c r="C150" s="31">
        <v>0</v>
      </c>
      <c r="D150" s="31">
        <v>0</v>
      </c>
      <c r="E150" s="24" t="str">
        <f t="shared" si="11"/>
        <v>0</v>
      </c>
    </row>
    <row r="151" spans="1:5" x14ac:dyDescent="0.25">
      <c r="A151" s="25"/>
      <c r="B151" s="23"/>
      <c r="C151" s="31">
        <v>1</v>
      </c>
      <c r="D151" s="31">
        <v>0</v>
      </c>
      <c r="E151" s="24" t="str">
        <f t="shared" si="11"/>
        <v>1</v>
      </c>
    </row>
    <row r="152" spans="1:5" x14ac:dyDescent="0.25">
      <c r="A152" s="1">
        <v>4</v>
      </c>
      <c r="B152" s="1">
        <v>0</v>
      </c>
      <c r="C152" s="31">
        <f t="array" ref="C152:D155">[2]!MatEigenvector_C($A$133:$H$136,A152:B152)</f>
        <v>0</v>
      </c>
      <c r="D152" s="31">
        <v>0</v>
      </c>
      <c r="E152" s="24" t="str">
        <f t="shared" si="11"/>
        <v>0</v>
      </c>
    </row>
    <row r="153" spans="1:5" x14ac:dyDescent="0.25">
      <c r="A153" s="25"/>
      <c r="B153" s="23"/>
      <c r="C153" s="31">
        <v>0</v>
      </c>
      <c r="D153" s="31">
        <v>0</v>
      </c>
      <c r="E153" s="24" t="str">
        <f t="shared" si="11"/>
        <v>0</v>
      </c>
    </row>
    <row r="154" spans="1:5" x14ac:dyDescent="0.25">
      <c r="A154" s="25"/>
      <c r="B154" s="23"/>
      <c r="C154" s="31">
        <v>1</v>
      </c>
      <c r="D154" s="31">
        <v>0</v>
      </c>
      <c r="E154" s="24" t="str">
        <f t="shared" si="11"/>
        <v>1</v>
      </c>
    </row>
    <row r="155" spans="1:5" x14ac:dyDescent="0.25">
      <c r="A155" s="26"/>
      <c r="B155" s="27"/>
      <c r="C155" s="31">
        <v>0</v>
      </c>
      <c r="D155" s="31">
        <v>-1</v>
      </c>
      <c r="E155" s="24" t="str">
        <f t="shared" si="11"/>
        <v>-j</v>
      </c>
    </row>
  </sheetData>
  <mergeCells count="60">
    <mergeCell ref="C138:E138"/>
    <mergeCell ref="A138:B138"/>
    <mergeCell ref="A132:D132"/>
    <mergeCell ref="E132:H132"/>
    <mergeCell ref="A131:H131"/>
    <mergeCell ref="A127:H127"/>
    <mergeCell ref="A128:H128"/>
    <mergeCell ref="A129:H129"/>
    <mergeCell ref="C114:G114"/>
    <mergeCell ref="C115:G115"/>
    <mergeCell ref="A103:A106"/>
    <mergeCell ref="A107:A115"/>
    <mergeCell ref="C109:G109"/>
    <mergeCell ref="C110:G110"/>
    <mergeCell ref="C111:G111"/>
    <mergeCell ref="C112:G112"/>
    <mergeCell ref="C113:G113"/>
    <mergeCell ref="C106:G106"/>
    <mergeCell ref="C103:G103"/>
    <mergeCell ref="C104:G104"/>
    <mergeCell ref="C105:G105"/>
    <mergeCell ref="C107:G107"/>
    <mergeCell ref="C108:G108"/>
    <mergeCell ref="A1:G1"/>
    <mergeCell ref="A2:G2"/>
    <mergeCell ref="A121:D121"/>
    <mergeCell ref="A117:G117"/>
    <mergeCell ref="A118:G118"/>
    <mergeCell ref="A119:G119"/>
    <mergeCell ref="A94:G94"/>
    <mergeCell ref="A95:G95"/>
    <mergeCell ref="A96:G96"/>
    <mergeCell ref="E32:G32"/>
    <mergeCell ref="E23:F23"/>
    <mergeCell ref="A14:C14"/>
    <mergeCell ref="A23:C23"/>
    <mergeCell ref="A5:C5"/>
    <mergeCell ref="A41:C41"/>
    <mergeCell ref="A10:E10"/>
    <mergeCell ref="A11:E11"/>
    <mergeCell ref="A3:G3"/>
    <mergeCell ref="A12:E12"/>
    <mergeCell ref="A21:I21"/>
    <mergeCell ref="A30:G30"/>
    <mergeCell ref="A37:D37"/>
    <mergeCell ref="A38:D38"/>
    <mergeCell ref="A39:D39"/>
    <mergeCell ref="H23:I23"/>
    <mergeCell ref="A19:I19"/>
    <mergeCell ref="A20:I20"/>
    <mergeCell ref="A28:G28"/>
    <mergeCell ref="A29:G29"/>
    <mergeCell ref="A32:C32"/>
    <mergeCell ref="A84:C84"/>
    <mergeCell ref="D84:F84"/>
    <mergeCell ref="A89:C89"/>
    <mergeCell ref="A75:F75"/>
    <mergeCell ref="A76:F76"/>
    <mergeCell ref="A77:F77"/>
    <mergeCell ref="A79:C7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178"/>
  <sheetViews>
    <sheetView tabSelected="1" zoomScale="130" zoomScaleNormal="130" workbookViewId="0">
      <selection activeCell="L165" sqref="L165"/>
    </sheetView>
  </sheetViews>
  <sheetFormatPr defaultColWidth="9.28515625" defaultRowHeight="15" x14ac:dyDescent="0.25"/>
  <cols>
    <col min="1" max="1" width="12" customWidth="1"/>
    <col min="3" max="3" width="11.7109375" customWidth="1"/>
    <col min="5" max="5" width="10.7109375" bestFit="1" customWidth="1"/>
    <col min="7" max="7" width="9.28515625" customWidth="1"/>
  </cols>
  <sheetData>
    <row r="1" spans="1:7" x14ac:dyDescent="0.25">
      <c r="A1" s="35" t="s">
        <v>64</v>
      </c>
      <c r="B1" s="35"/>
      <c r="C1" s="35"/>
      <c r="D1" s="35"/>
      <c r="E1" s="35"/>
      <c r="F1" s="35"/>
      <c r="G1" s="35"/>
    </row>
    <row r="2" spans="1:7" x14ac:dyDescent="0.25">
      <c r="A2" s="35" t="s">
        <v>101</v>
      </c>
      <c r="B2" s="35"/>
      <c r="C2" s="35"/>
      <c r="D2" s="35"/>
      <c r="E2" s="35"/>
      <c r="F2" s="35"/>
      <c r="G2" s="35"/>
    </row>
    <row r="4" spans="1:7" x14ac:dyDescent="0.25">
      <c r="A4" s="5" t="s">
        <v>65</v>
      </c>
      <c r="B4" s="36" t="s">
        <v>66</v>
      </c>
      <c r="C4" s="36"/>
      <c r="D4" s="36"/>
      <c r="E4" s="36"/>
      <c r="F4" s="36"/>
      <c r="G4" s="36"/>
    </row>
    <row r="5" spans="1:7" x14ac:dyDescent="0.25">
      <c r="A5" s="1">
        <v>100</v>
      </c>
      <c r="B5" s="44" t="str" cm="1">
        <f t="array" ref="B5">[1]!xfact(A5)</f>
        <v>9,33262154439441526816992388562E+157</v>
      </c>
      <c r="C5" s="45"/>
      <c r="D5" s="45"/>
      <c r="E5" s="45"/>
      <c r="F5" s="45"/>
      <c r="G5" s="46"/>
    </row>
    <row r="6" spans="1:7" x14ac:dyDescent="0.25">
      <c r="A6" s="1">
        <v>200</v>
      </c>
      <c r="B6" s="44" t="str" cm="1">
        <f t="array" ref="B6">[1]!xfact(A6)</f>
        <v>7,88657867364790503552363213932E+374</v>
      </c>
      <c r="C6" s="45"/>
      <c r="D6" s="45"/>
      <c r="E6" s="45"/>
      <c r="F6" s="45"/>
      <c r="G6" s="46"/>
    </row>
    <row r="7" spans="1:7" x14ac:dyDescent="0.25">
      <c r="A7" s="1">
        <v>300</v>
      </c>
      <c r="B7" s="44" t="str" cm="1">
        <f t="array" ref="B7">[1]!xfact(A7)</f>
        <v>3,06057512216440636035370461297E+614</v>
      </c>
      <c r="C7" s="45"/>
      <c r="D7" s="45"/>
      <c r="E7" s="45"/>
      <c r="F7" s="45"/>
      <c r="G7" s="46"/>
    </row>
    <row r="8" spans="1:7" x14ac:dyDescent="0.25">
      <c r="A8" s="1">
        <v>400</v>
      </c>
      <c r="B8" s="44" t="str" cm="1">
        <f t="array" ref="B8">[1]!xfact(A8)</f>
        <v>6,40345228466238952623479703195E+868</v>
      </c>
      <c r="C8" s="45"/>
      <c r="D8" s="45"/>
      <c r="E8" s="45"/>
      <c r="F8" s="45"/>
      <c r="G8" s="46"/>
    </row>
    <row r="9" spans="1:7" x14ac:dyDescent="0.25">
      <c r="A9" s="1">
        <v>500</v>
      </c>
      <c r="B9" s="44" t="str" cm="1">
        <f t="array" ref="B9">[1]!xfact(A9)</f>
        <v>1,22013682599111006870123878542E+1134</v>
      </c>
      <c r="C9" s="45"/>
      <c r="D9" s="45"/>
      <c r="E9" s="45"/>
      <c r="F9" s="45"/>
      <c r="G9" s="46"/>
    </row>
    <row r="10" spans="1:7" x14ac:dyDescent="0.25">
      <c r="A10" s="1">
        <v>600</v>
      </c>
      <c r="B10" s="44" t="str" cm="1">
        <f t="array" ref="B10">[1]!xfact(A10)</f>
        <v>1,26557231622543074254186782451E+1408</v>
      </c>
      <c r="C10" s="45"/>
      <c r="D10" s="45"/>
      <c r="E10" s="45"/>
      <c r="F10" s="45"/>
      <c r="G10" s="46"/>
    </row>
    <row r="11" spans="1:7" x14ac:dyDescent="0.25">
      <c r="A11" s="1">
        <v>700</v>
      </c>
      <c r="B11" s="44" t="str" cm="1">
        <f t="array" ref="B11">[1]!xfact(A11)</f>
        <v>2,42204012475027217986787509381E+1689</v>
      </c>
      <c r="C11" s="45"/>
      <c r="D11" s="45"/>
      <c r="E11" s="45"/>
      <c r="F11" s="45"/>
      <c r="G11" s="46"/>
    </row>
    <row r="12" spans="1:7" x14ac:dyDescent="0.25">
      <c r="A12" s="1">
        <v>800</v>
      </c>
      <c r="B12" s="44" t="str" cm="1">
        <f t="array" ref="B12">[1]!xfact(A12)</f>
        <v>7,71053011335386004144639397775E+1976</v>
      </c>
      <c r="C12" s="45"/>
      <c r="D12" s="45"/>
      <c r="E12" s="45"/>
      <c r="F12" s="45"/>
      <c r="G12" s="46"/>
    </row>
    <row r="13" spans="1:7" x14ac:dyDescent="0.25">
      <c r="A13" s="1">
        <v>900</v>
      </c>
      <c r="B13" s="44" t="str" cm="1">
        <f t="array" ref="B13">[1]!xfact(A13)</f>
        <v>6,75268022096458415838790613618E+2269</v>
      </c>
      <c r="C13" s="45"/>
      <c r="D13" s="45"/>
      <c r="E13" s="45"/>
      <c r="F13" s="45"/>
      <c r="G13" s="46"/>
    </row>
    <row r="14" spans="1:7" x14ac:dyDescent="0.25">
      <c r="A14" s="1">
        <v>1000</v>
      </c>
      <c r="B14" s="44" t="str" cm="1">
        <f t="array" ref="B14">[1]!xfact(A14)</f>
        <v>4,02387260077093773543702433923E+2567</v>
      </c>
      <c r="C14" s="45"/>
      <c r="D14" s="45"/>
      <c r="E14" s="45"/>
      <c r="F14" s="45"/>
      <c r="G14" s="46"/>
    </row>
    <row r="15" spans="1:7" x14ac:dyDescent="0.25">
      <c r="A15" s="1">
        <v>2000</v>
      </c>
      <c r="B15" s="44" t="str" cm="1">
        <f t="array" ref="B15">[1]!xfact(A15)</f>
        <v>3,31627509245063324117539338057E+5735</v>
      </c>
      <c r="C15" s="45"/>
      <c r="D15" s="45"/>
      <c r="E15" s="45"/>
      <c r="F15" s="45"/>
      <c r="G15" s="46"/>
    </row>
    <row r="16" spans="1:7" x14ac:dyDescent="0.25">
      <c r="A16" s="8">
        <v>10000</v>
      </c>
      <c r="B16" s="44" t="str" cm="1">
        <f t="array" ref="B16">[1]!xfact(A16)</f>
        <v>2,84625968091705451890641321211E+35659</v>
      </c>
      <c r="C16" s="45"/>
      <c r="D16" s="45"/>
      <c r="E16" s="45"/>
      <c r="F16" s="45"/>
      <c r="G16" s="46"/>
    </row>
    <row r="18" spans="1:6" x14ac:dyDescent="0.25">
      <c r="A18" s="35" t="s">
        <v>67</v>
      </c>
      <c r="B18" s="35"/>
      <c r="C18" s="35"/>
      <c r="D18" s="35"/>
      <c r="E18" s="35"/>
      <c r="F18" s="35"/>
    </row>
    <row r="19" spans="1:6" x14ac:dyDescent="0.25">
      <c r="A19" s="35" t="s">
        <v>102</v>
      </c>
      <c r="B19" s="35"/>
      <c r="C19" s="35"/>
      <c r="D19" s="35"/>
      <c r="E19" s="35"/>
      <c r="F19" s="35"/>
    </row>
    <row r="21" spans="1:6" x14ac:dyDescent="0.25">
      <c r="A21" s="5" t="s">
        <v>70</v>
      </c>
      <c r="B21" s="36" t="s">
        <v>68</v>
      </c>
      <c r="C21" s="36"/>
      <c r="D21" s="36"/>
      <c r="E21" s="36"/>
      <c r="F21" s="36"/>
    </row>
    <row r="22" spans="1:6" x14ac:dyDescent="0.25">
      <c r="A22" s="10">
        <v>0</v>
      </c>
      <c r="B22" s="42" t="str" cm="1">
        <f t="array" ref="B22">[1]!xsin(A22)</f>
        <v>0</v>
      </c>
      <c r="C22" s="42"/>
      <c r="D22" s="42"/>
      <c r="E22" s="42"/>
      <c r="F22" s="42"/>
    </row>
    <row r="23" spans="1:6" x14ac:dyDescent="0.25">
      <c r="A23" s="10">
        <v>0.1</v>
      </c>
      <c r="B23" s="42" t="str" cm="1">
        <f t="array" ref="B23">[1]!xsin(A23)</f>
        <v>9,98334166468281523068141984106E-2</v>
      </c>
      <c r="C23" s="42"/>
      <c r="D23" s="42"/>
      <c r="E23" s="42"/>
      <c r="F23" s="42"/>
    </row>
    <row r="24" spans="1:6" x14ac:dyDescent="0.25">
      <c r="A24" s="10">
        <v>0.2</v>
      </c>
      <c r="B24" s="42" t="str" cm="1">
        <f t="array" ref="B24">[1]!xsin(A24)</f>
        <v>0,198669330795061215459412627118</v>
      </c>
      <c r="C24" s="42"/>
      <c r="D24" s="42"/>
      <c r="E24" s="42"/>
      <c r="F24" s="42"/>
    </row>
    <row r="25" spans="1:6" x14ac:dyDescent="0.25">
      <c r="A25" s="10">
        <v>0.3</v>
      </c>
      <c r="B25" s="42" t="str" cm="1">
        <f t="array" ref="B25">[1]!xsin(A25)</f>
        <v>0,295520206661339575105320745685</v>
      </c>
      <c r="C25" s="42"/>
      <c r="D25" s="42"/>
      <c r="E25" s="42"/>
      <c r="F25" s="42"/>
    </row>
    <row r="26" spans="1:6" x14ac:dyDescent="0.25">
      <c r="A26" s="10">
        <v>0.4</v>
      </c>
      <c r="B26" s="42" t="str" cm="1">
        <f t="array" ref="B26">[1]!xsin(A26)</f>
        <v>0,389418342308650491666311756795</v>
      </c>
      <c r="C26" s="42"/>
      <c r="D26" s="42"/>
      <c r="E26" s="42"/>
      <c r="F26" s="42"/>
    </row>
    <row r="27" spans="1:6" x14ac:dyDescent="0.25">
      <c r="A27" s="10">
        <v>0.5</v>
      </c>
      <c r="B27" s="42" t="str" cm="1">
        <f t="array" ref="B27">[1]!xsin(A27)</f>
        <v>0,479425538604203000273287935215</v>
      </c>
      <c r="C27" s="42"/>
      <c r="D27" s="42"/>
      <c r="E27" s="42"/>
      <c r="F27" s="42"/>
    </row>
    <row r="28" spans="1:6" x14ac:dyDescent="0.25">
      <c r="A28" s="10">
        <v>0.6</v>
      </c>
      <c r="B28" s="42" t="str" cm="1">
        <f t="array" ref="B28">[1]!xsin(A28)</f>
        <v>0,564642473395035357200945445658</v>
      </c>
      <c r="C28" s="42"/>
      <c r="D28" s="42"/>
      <c r="E28" s="42"/>
      <c r="F28" s="42"/>
    </row>
    <row r="29" spans="1:6" x14ac:dyDescent="0.25">
      <c r="A29" s="10">
        <v>0.7</v>
      </c>
      <c r="B29" s="42" t="str" cm="1">
        <f t="array" ref="B29">[1]!xsin(A29)</f>
        <v>0,644217687237691053672614351398</v>
      </c>
      <c r="C29" s="42"/>
      <c r="D29" s="42"/>
      <c r="E29" s="42"/>
      <c r="F29" s="42"/>
    </row>
    <row r="30" spans="1:6" x14ac:dyDescent="0.25">
      <c r="A30" s="10">
        <v>0.8</v>
      </c>
      <c r="B30" s="42" t="str" cm="1">
        <f t="array" ref="B30">[1]!xsin(A30)</f>
        <v>0,717356090899522761627174610581</v>
      </c>
      <c r="C30" s="42"/>
      <c r="D30" s="42"/>
      <c r="E30" s="42"/>
      <c r="F30" s="42"/>
    </row>
    <row r="31" spans="1:6" x14ac:dyDescent="0.25">
      <c r="A31" s="10">
        <v>0.9</v>
      </c>
      <c r="B31" s="42" t="str" cm="1">
        <f t="array" ref="B31">[1]!xsin(A31)</f>
        <v>0,783326909627483388461382315713</v>
      </c>
      <c r="C31" s="42"/>
      <c r="D31" s="42"/>
      <c r="E31" s="42"/>
      <c r="F31" s="42"/>
    </row>
    <row r="32" spans="1:6" x14ac:dyDescent="0.25">
      <c r="A32" s="10">
        <v>1</v>
      </c>
      <c r="B32" s="42" t="str" cm="1">
        <f t="array" ref="B32">[1]!xsin(A32)</f>
        <v>0,84147098480789650665250232163</v>
      </c>
      <c r="C32" s="42"/>
      <c r="D32" s="42"/>
      <c r="E32" s="42"/>
      <c r="F32" s="42"/>
    </row>
    <row r="34" spans="1:7" x14ac:dyDescent="0.25">
      <c r="A34" s="5" t="s">
        <v>70</v>
      </c>
      <c r="B34" s="36" t="s">
        <v>69</v>
      </c>
      <c r="C34" s="36"/>
      <c r="D34" s="36"/>
      <c r="E34" s="36"/>
      <c r="F34" s="36"/>
    </row>
    <row r="35" spans="1:7" x14ac:dyDescent="0.25">
      <c r="A35" s="10">
        <v>0</v>
      </c>
      <c r="B35" s="42" t="str" cm="1">
        <f t="array" ref="B35">[1]!xcos(A35)</f>
        <v>1</v>
      </c>
      <c r="C35" s="42"/>
      <c r="D35" s="42"/>
      <c r="E35" s="42"/>
      <c r="F35" s="42"/>
    </row>
    <row r="36" spans="1:7" x14ac:dyDescent="0.25">
      <c r="A36" s="10">
        <v>0.1</v>
      </c>
      <c r="B36" s="42" t="str" cm="1">
        <f t="array" ref="B36">[1]!xcos(A36)</f>
        <v>0,995004165278025766095561987803</v>
      </c>
      <c r="C36" s="42"/>
      <c r="D36" s="42"/>
      <c r="E36" s="42"/>
      <c r="F36" s="42"/>
    </row>
    <row r="37" spans="1:7" x14ac:dyDescent="0.25">
      <c r="A37" s="10">
        <v>0.2</v>
      </c>
      <c r="B37" s="42" t="str" cm="1">
        <f t="array" ref="B37">[1]!xcos(A37)</f>
        <v>0,980066577841241631124196516748</v>
      </c>
      <c r="C37" s="42"/>
      <c r="D37" s="42"/>
      <c r="E37" s="42"/>
      <c r="F37" s="42"/>
    </row>
    <row r="38" spans="1:7" x14ac:dyDescent="0.25">
      <c r="A38" s="10">
        <v>0.3</v>
      </c>
      <c r="B38" s="42" t="str" cm="1">
        <f t="array" ref="B38">[1]!xcos(A38)</f>
        <v>0,955336489125606019642310227568</v>
      </c>
      <c r="C38" s="42"/>
      <c r="D38" s="42"/>
      <c r="E38" s="42"/>
      <c r="F38" s="42"/>
    </row>
    <row r="39" spans="1:7" x14ac:dyDescent="0.25">
      <c r="A39" s="10">
        <v>0.4</v>
      </c>
      <c r="B39" s="42" t="str" cm="1">
        <f t="array" ref="B39">[1]!xcos(A39)</f>
        <v>0,921060994002885082798526732051</v>
      </c>
      <c r="C39" s="42"/>
      <c r="D39" s="42"/>
      <c r="E39" s="42"/>
      <c r="F39" s="42"/>
    </row>
    <row r="40" spans="1:7" x14ac:dyDescent="0.25">
      <c r="A40" s="10">
        <v>0.5</v>
      </c>
      <c r="B40" s="42" t="str" cm="1">
        <f t="array" ref="B40">[1]!xcos(A40)</f>
        <v>0,877582561890372716116281582603</v>
      </c>
      <c r="C40" s="42"/>
      <c r="D40" s="42"/>
      <c r="E40" s="42"/>
      <c r="F40" s="42"/>
    </row>
    <row r="41" spans="1:7" x14ac:dyDescent="0.25">
      <c r="A41" s="10">
        <v>0.6</v>
      </c>
      <c r="B41" s="42" t="str" cm="1">
        <f t="array" ref="B41">[1]!xcos(A41)</f>
        <v>0,825335614909678297240952498955</v>
      </c>
      <c r="C41" s="42"/>
      <c r="D41" s="42"/>
      <c r="E41" s="42"/>
      <c r="F41" s="42"/>
    </row>
    <row r="42" spans="1:7" x14ac:dyDescent="0.25">
      <c r="A42" s="10">
        <v>0.7</v>
      </c>
      <c r="B42" s="42" t="str" cm="1">
        <f t="array" ref="B42">[1]!xcos(A42)</f>
        <v>0,764842187284488426255859990191</v>
      </c>
      <c r="C42" s="42"/>
      <c r="D42" s="42"/>
      <c r="E42" s="42"/>
      <c r="F42" s="42"/>
    </row>
    <row r="43" spans="1:7" x14ac:dyDescent="0.25">
      <c r="A43" s="10">
        <v>0.8</v>
      </c>
      <c r="B43" s="42" t="str" cm="1">
        <f t="array" ref="B43">[1]!xcos(A43)</f>
        <v>0,696706709347165420920749981642</v>
      </c>
      <c r="C43" s="42"/>
      <c r="D43" s="42"/>
      <c r="E43" s="42"/>
      <c r="F43" s="42"/>
    </row>
    <row r="44" spans="1:7" x14ac:dyDescent="0.25">
      <c r="A44" s="10">
        <v>0.9</v>
      </c>
      <c r="B44" s="42" t="str" cm="1">
        <f t="array" ref="B44">[1]!xcos(A44)</f>
        <v>0,621609968270664456484716151407</v>
      </c>
      <c r="C44" s="42"/>
      <c r="D44" s="42"/>
      <c r="E44" s="42"/>
      <c r="F44" s="42"/>
    </row>
    <row r="45" spans="1:7" x14ac:dyDescent="0.25">
      <c r="A45" s="10">
        <v>1</v>
      </c>
      <c r="B45" s="42" t="str" cm="1">
        <f t="array" ref="B45">[1]!xcos(A45)</f>
        <v>0,540302305868139717400936607442</v>
      </c>
      <c r="C45" s="42"/>
      <c r="D45" s="42"/>
      <c r="E45" s="42"/>
      <c r="F45" s="42"/>
    </row>
    <row r="47" spans="1:7" x14ac:dyDescent="0.25">
      <c r="A47" s="5" t="s">
        <v>71</v>
      </c>
      <c r="B47" s="36" t="s">
        <v>72</v>
      </c>
      <c r="C47" s="36"/>
      <c r="D47" s="36"/>
      <c r="E47" s="36"/>
      <c r="F47" s="36"/>
      <c r="G47" s="36"/>
    </row>
    <row r="48" spans="1:7" x14ac:dyDescent="0.25">
      <c r="A48" s="5">
        <v>10</v>
      </c>
      <c r="B48" s="47" t="str" cm="1">
        <f t="array" ref="B48">[1]!xpi(A48)</f>
        <v>3,141592653</v>
      </c>
      <c r="C48" s="47"/>
      <c r="D48" s="47"/>
      <c r="E48" s="47"/>
      <c r="F48" s="47"/>
      <c r="G48" s="47"/>
    </row>
    <row r="49" spans="1:7" x14ac:dyDescent="0.25">
      <c r="A49" s="5">
        <v>20</v>
      </c>
      <c r="B49" s="47" t="str" cm="1">
        <f t="array" ref="B49">[1]!xpi(A49)</f>
        <v>3,1415926535897932384</v>
      </c>
      <c r="C49" s="47"/>
      <c r="D49" s="47"/>
      <c r="E49" s="47"/>
      <c r="F49" s="47"/>
      <c r="G49" s="47"/>
    </row>
    <row r="50" spans="1:7" x14ac:dyDescent="0.25">
      <c r="A50" s="5">
        <v>30</v>
      </c>
      <c r="B50" s="47" t="str" cm="1">
        <f t="array" ref="B50">[1]!xpi(A50)</f>
        <v>3,14159265358979323846264338327</v>
      </c>
      <c r="C50" s="47"/>
      <c r="D50" s="47"/>
      <c r="E50" s="47"/>
      <c r="F50" s="47"/>
      <c r="G50" s="47"/>
    </row>
    <row r="51" spans="1:7" x14ac:dyDescent="0.25">
      <c r="A51" s="5">
        <v>40</v>
      </c>
      <c r="B51" s="47" t="str" cm="1">
        <f t="array" ref="B51">[1]!xpi(A51)</f>
        <v>3,141592653589793238462643383279502884197</v>
      </c>
      <c r="C51" s="47"/>
      <c r="D51" s="47"/>
      <c r="E51" s="47"/>
      <c r="F51" s="47"/>
      <c r="G51" s="47"/>
    </row>
    <row r="52" spans="1:7" x14ac:dyDescent="0.25">
      <c r="A52" s="5">
        <v>50</v>
      </c>
      <c r="B52" s="47" t="str" cm="1">
        <f t="array" ref="B52">[1]!xpi(A52)</f>
        <v>3,1415926535897932384626433832795028841971693993751</v>
      </c>
      <c r="C52" s="47"/>
      <c r="D52" s="47"/>
      <c r="E52" s="47"/>
      <c r="F52" s="47"/>
      <c r="G52" s="47"/>
    </row>
    <row r="54" spans="1:7" x14ac:dyDescent="0.25">
      <c r="A54" s="35" t="s">
        <v>73</v>
      </c>
      <c r="B54" s="35"/>
      <c r="C54" s="35"/>
      <c r="D54" s="35"/>
      <c r="E54" s="35"/>
      <c r="F54" s="35"/>
    </row>
    <row r="55" spans="1:7" x14ac:dyDescent="0.25">
      <c r="A55" s="35" t="s">
        <v>103</v>
      </c>
      <c r="B55" s="35"/>
      <c r="C55" s="35"/>
      <c r="D55" s="35"/>
      <c r="E55" s="35"/>
      <c r="F55" s="35"/>
    </row>
    <row r="57" spans="1:7" x14ac:dyDescent="0.25">
      <c r="A57" s="5" t="s">
        <v>2</v>
      </c>
      <c r="B57" s="36" t="s">
        <v>74</v>
      </c>
      <c r="C57" s="36"/>
      <c r="D57" s="36"/>
      <c r="E57" s="36"/>
      <c r="F57" s="36"/>
    </row>
    <row r="58" spans="1:7" x14ac:dyDescent="0.25">
      <c r="A58" s="10">
        <v>1</v>
      </c>
      <c r="B58" s="42" t="str" cm="1">
        <f t="array" ref="B58">[1]!xln(A58)</f>
        <v>0</v>
      </c>
      <c r="C58" s="42"/>
      <c r="D58" s="42"/>
      <c r="E58" s="42"/>
      <c r="F58" s="42"/>
    </row>
    <row r="59" spans="1:7" x14ac:dyDescent="0.25">
      <c r="A59" s="10">
        <v>1.1000000000000001</v>
      </c>
      <c r="B59" s="42" t="str" cm="1">
        <f t="array" ref="B59">[1]!xln(A59)</f>
        <v>9,53101798043248600439521232807E-2</v>
      </c>
      <c r="C59" s="42"/>
      <c r="D59" s="42"/>
      <c r="E59" s="42"/>
      <c r="F59" s="42"/>
    </row>
    <row r="60" spans="1:7" x14ac:dyDescent="0.25">
      <c r="A60" s="10">
        <v>1.2</v>
      </c>
      <c r="B60" s="42" t="str" cm="1">
        <f t="array" ref="B60">[1]!xln(A60)</f>
        <v>0,182321556793954626211718025154</v>
      </c>
      <c r="C60" s="42"/>
      <c r="D60" s="42"/>
      <c r="E60" s="42"/>
      <c r="F60" s="42"/>
    </row>
    <row r="61" spans="1:7" x14ac:dyDescent="0.25">
      <c r="A61" s="10">
        <v>1.3</v>
      </c>
      <c r="B61" s="42" t="str" cm="1">
        <f t="array" ref="B61">[1]!xln(A61)</f>
        <v>0,26236426446749105203549598688</v>
      </c>
      <c r="C61" s="42"/>
      <c r="D61" s="42"/>
      <c r="E61" s="42"/>
      <c r="F61" s="42"/>
    </row>
    <row r="62" spans="1:7" x14ac:dyDescent="0.25">
      <c r="A62" s="10">
        <v>1.4</v>
      </c>
      <c r="B62" s="42" t="str" cm="1">
        <f t="array" ref="B62">[1]!xln(A62)</f>
        <v>0,336472236621212930504593410216</v>
      </c>
      <c r="C62" s="42"/>
      <c r="D62" s="42"/>
      <c r="E62" s="42"/>
      <c r="F62" s="42"/>
    </row>
    <row r="63" spans="1:7" x14ac:dyDescent="0.25">
      <c r="A63" s="10">
        <v>1.5</v>
      </c>
      <c r="B63" s="42" t="str" cm="1">
        <f t="array" ref="B63">[1]!xln(A63)</f>
        <v>0,405465108108164381978013115464</v>
      </c>
      <c r="C63" s="42"/>
      <c r="D63" s="42"/>
      <c r="E63" s="42"/>
      <c r="F63" s="42"/>
    </row>
    <row r="64" spans="1:7" x14ac:dyDescent="0.25">
      <c r="A64" s="10">
        <v>1.6</v>
      </c>
      <c r="B64" s="42" t="str" cm="1">
        <f t="array" ref="B64">[1]!xln(A64)</f>
        <v>0,470003629245735553650937031148</v>
      </c>
      <c r="C64" s="42"/>
      <c r="D64" s="42"/>
      <c r="E64" s="42"/>
      <c r="F64" s="42"/>
    </row>
    <row r="65" spans="1:6" x14ac:dyDescent="0.25">
      <c r="A65" s="10">
        <v>1.7</v>
      </c>
      <c r="B65" s="42" t="str" cm="1">
        <f t="array" ref="B65">[1]!xln(A65)</f>
        <v>0,530628251062170396231543163188</v>
      </c>
      <c r="C65" s="42"/>
      <c r="D65" s="42"/>
      <c r="E65" s="42"/>
      <c r="F65" s="42"/>
    </row>
    <row r="66" spans="1:6" x14ac:dyDescent="0.25">
      <c r="A66" s="10">
        <v>1.8</v>
      </c>
      <c r="B66" s="42" t="str" cm="1">
        <f t="array" ref="B66">[1]!xln(A66)</f>
        <v>0,587786664902119008189731140618</v>
      </c>
      <c r="C66" s="42"/>
      <c r="D66" s="42"/>
      <c r="E66" s="42"/>
      <c r="F66" s="42"/>
    </row>
    <row r="67" spans="1:6" x14ac:dyDescent="0.25">
      <c r="A67" s="10">
        <v>1.9</v>
      </c>
      <c r="B67" s="42" t="str" cm="1">
        <f t="array" ref="B67">[1]!xln(A67)</f>
        <v>0,641853886172394775991035977203</v>
      </c>
      <c r="C67" s="42"/>
      <c r="D67" s="42"/>
      <c r="E67" s="42"/>
      <c r="F67" s="42"/>
    </row>
    <row r="68" spans="1:6" x14ac:dyDescent="0.25">
      <c r="A68" s="10">
        <v>2</v>
      </c>
      <c r="B68" s="42" t="str" cm="1">
        <f t="array" ref="B68">[1]!xln(A68)</f>
        <v>0,693147180559945309417232121458</v>
      </c>
      <c r="C68" s="42"/>
      <c r="D68" s="42"/>
      <c r="E68" s="42"/>
      <c r="F68" s="42"/>
    </row>
    <row r="70" spans="1:6" x14ac:dyDescent="0.25">
      <c r="A70" s="5" t="s">
        <v>2</v>
      </c>
      <c r="B70" s="36" t="s">
        <v>75</v>
      </c>
      <c r="C70" s="36"/>
      <c r="D70" s="36"/>
      <c r="E70" s="36"/>
      <c r="F70" s="36"/>
    </row>
    <row r="71" spans="1:6" x14ac:dyDescent="0.25">
      <c r="A71" s="10">
        <v>1</v>
      </c>
      <c r="B71" s="42" t="str" cm="1">
        <f t="array" ref="B71">[1]!xexp(A71)</f>
        <v>2,71828182845904523536028747135</v>
      </c>
      <c r="C71" s="42"/>
      <c r="D71" s="42"/>
      <c r="E71" s="42"/>
      <c r="F71" s="42"/>
    </row>
    <row r="72" spans="1:6" x14ac:dyDescent="0.25">
      <c r="A72" s="10">
        <v>1.1000000000000001</v>
      </c>
      <c r="B72" s="42" t="str" cm="1">
        <f t="array" ref="B72">[1]!xexp(A72)</f>
        <v>3,00416602394643311205840795358</v>
      </c>
      <c r="C72" s="42"/>
      <c r="D72" s="42"/>
      <c r="E72" s="42"/>
      <c r="F72" s="42"/>
    </row>
    <row r="73" spans="1:6" x14ac:dyDescent="0.25">
      <c r="A73" s="10">
        <v>1.2</v>
      </c>
      <c r="B73" s="42" t="str" cm="1">
        <f t="array" ref="B73">[1]!xexp(A73)</f>
        <v>3,3201169227365474895307674296</v>
      </c>
      <c r="C73" s="42"/>
      <c r="D73" s="42"/>
      <c r="E73" s="42"/>
      <c r="F73" s="42"/>
    </row>
    <row r="74" spans="1:6" x14ac:dyDescent="0.25">
      <c r="A74" s="10">
        <v>1.3</v>
      </c>
      <c r="B74" s="42" t="str" cm="1">
        <f t="array" ref="B74">[1]!xexp(A74)</f>
        <v>3,66929666761924422045748991601</v>
      </c>
      <c r="C74" s="42"/>
      <c r="D74" s="42"/>
      <c r="E74" s="42"/>
      <c r="F74" s="42"/>
    </row>
    <row r="75" spans="1:6" x14ac:dyDescent="0.25">
      <c r="A75" s="10">
        <v>1.4</v>
      </c>
      <c r="B75" s="42" t="str" cm="1">
        <f t="array" ref="B75">[1]!xexp(A75)</f>
        <v>4,05519996684467458722410889522</v>
      </c>
      <c r="C75" s="42"/>
      <c r="D75" s="42"/>
      <c r="E75" s="42"/>
      <c r="F75" s="42"/>
    </row>
    <row r="76" spans="1:6" x14ac:dyDescent="0.25">
      <c r="A76" s="10">
        <v>1.5</v>
      </c>
      <c r="B76" s="42" t="str" cm="1">
        <f t="array" ref="B76">[1]!xexp(A76)</f>
        <v>4,48168907033806482260205546011</v>
      </c>
      <c r="C76" s="42"/>
      <c r="D76" s="42"/>
      <c r="E76" s="42"/>
      <c r="F76" s="42"/>
    </row>
    <row r="77" spans="1:6" x14ac:dyDescent="0.25">
      <c r="A77" s="10">
        <v>1.6</v>
      </c>
      <c r="B77" s="42" t="str" cm="1">
        <f t="array" ref="B77">[1]!xexp(A77)</f>
        <v>4,95303242439511480365428635642</v>
      </c>
      <c r="C77" s="42"/>
      <c r="D77" s="42"/>
      <c r="E77" s="42"/>
      <c r="F77" s="42"/>
    </row>
    <row r="78" spans="1:6" x14ac:dyDescent="0.25">
      <c r="A78" s="10">
        <v>1.7</v>
      </c>
      <c r="B78" s="42" t="str" cm="1">
        <f t="array" ref="B78">[1]!xexp(A78)</f>
        <v>5,473947391727199760790862663</v>
      </c>
      <c r="C78" s="42"/>
      <c r="D78" s="42"/>
      <c r="E78" s="42"/>
      <c r="F78" s="42"/>
    </row>
    <row r="79" spans="1:6" x14ac:dyDescent="0.25">
      <c r="A79" s="10">
        <v>1.8</v>
      </c>
      <c r="B79" s="42" t="str" cm="1">
        <f t="array" ref="B79">[1]!xexp(A79)</f>
        <v>6,04964746441294608373102395302</v>
      </c>
      <c r="C79" s="42"/>
      <c r="D79" s="42"/>
      <c r="E79" s="42"/>
      <c r="F79" s="42"/>
    </row>
    <row r="80" spans="1:6" x14ac:dyDescent="0.25">
      <c r="A80" s="10">
        <v>1.9</v>
      </c>
      <c r="B80" s="42" t="str" cm="1">
        <f t="array" ref="B80">[1]!xexp(A80)</f>
        <v>6,68589444227926941607253072769</v>
      </c>
      <c r="C80" s="42"/>
      <c r="D80" s="42"/>
      <c r="E80" s="42"/>
      <c r="F80" s="42"/>
    </row>
    <row r="81" spans="1:9" x14ac:dyDescent="0.25">
      <c r="A81" s="10">
        <v>2</v>
      </c>
      <c r="B81" s="42" t="str" cm="1">
        <f t="array" ref="B81">[1]!xexp(A81)</f>
        <v>7,38905609893065022723042746057</v>
      </c>
      <c r="C81" s="42"/>
      <c r="D81" s="42"/>
      <c r="E81" s="42"/>
      <c r="F81" s="42"/>
    </row>
    <row r="83" spans="1:9" x14ac:dyDescent="0.25">
      <c r="A83" s="5" t="s">
        <v>71</v>
      </c>
      <c r="B83" s="36" t="s">
        <v>76</v>
      </c>
      <c r="C83" s="36"/>
      <c r="D83" s="36"/>
      <c r="E83" s="36"/>
      <c r="F83" s="36"/>
      <c r="G83" s="36"/>
    </row>
    <row r="84" spans="1:9" x14ac:dyDescent="0.25">
      <c r="A84" s="5">
        <v>10</v>
      </c>
      <c r="B84" s="47" t="str" cm="1">
        <f t="array" ref="B84">[1]!xe(A84)</f>
        <v>2,718281828</v>
      </c>
      <c r="C84" s="47"/>
      <c r="D84" s="47"/>
      <c r="E84" s="47"/>
      <c r="F84" s="47"/>
      <c r="G84" s="47"/>
    </row>
    <row r="85" spans="1:9" x14ac:dyDescent="0.25">
      <c r="A85" s="5">
        <v>20</v>
      </c>
      <c r="B85" s="47" t="str" cm="1">
        <f t="array" ref="B85">[1]!xe(A85)</f>
        <v>2,7182818284590452353</v>
      </c>
      <c r="C85" s="47"/>
      <c r="D85" s="47"/>
      <c r="E85" s="47"/>
      <c r="F85" s="47"/>
      <c r="G85" s="47"/>
    </row>
    <row r="86" spans="1:9" x14ac:dyDescent="0.25">
      <c r="A86" s="5">
        <v>30</v>
      </c>
      <c r="B86" s="47" t="str" cm="1">
        <f t="array" ref="B86">[1]!xe(A86)</f>
        <v>2,71828182845904523536028747135</v>
      </c>
      <c r="C86" s="47"/>
      <c r="D86" s="47"/>
      <c r="E86" s="47"/>
      <c r="F86" s="47"/>
      <c r="G86" s="47"/>
    </row>
    <row r="87" spans="1:9" x14ac:dyDescent="0.25">
      <c r="A87" s="5">
        <v>40</v>
      </c>
      <c r="B87" s="47" t="str" cm="1">
        <f t="array" ref="B87">[1]!xe(A87)</f>
        <v>2,718281828459045235360287471352662497757</v>
      </c>
      <c r="C87" s="47"/>
      <c r="D87" s="47"/>
      <c r="E87" s="47"/>
      <c r="F87" s="47"/>
      <c r="G87" s="47"/>
    </row>
    <row r="88" spans="1:9" x14ac:dyDescent="0.25">
      <c r="A88" s="5">
        <v>50</v>
      </c>
      <c r="B88" s="47" t="str" cm="1">
        <f t="array" ref="B88">[1]!xe(A88)</f>
        <v>2,7182818284590452353602874713526624977572470936999</v>
      </c>
      <c r="C88" s="47"/>
      <c r="D88" s="47"/>
      <c r="E88" s="47"/>
      <c r="F88" s="47"/>
      <c r="G88" s="47"/>
    </row>
    <row r="90" spans="1:9" x14ac:dyDescent="0.25">
      <c r="A90" s="35" t="s">
        <v>77</v>
      </c>
      <c r="B90" s="35"/>
      <c r="C90" s="35"/>
      <c r="D90" s="35"/>
      <c r="E90" s="35"/>
      <c r="F90" s="35"/>
      <c r="G90" s="35"/>
      <c r="H90" s="35"/>
      <c r="I90" s="35"/>
    </row>
    <row r="91" spans="1:9" x14ac:dyDescent="0.25">
      <c r="A91" s="35" t="s">
        <v>127</v>
      </c>
      <c r="B91" s="35"/>
      <c r="C91" s="35"/>
      <c r="D91" s="35"/>
      <c r="E91" s="35"/>
      <c r="F91" s="35"/>
      <c r="G91" s="35"/>
      <c r="H91" s="35"/>
      <c r="I91" s="35"/>
    </row>
    <row r="92" spans="1:9" ht="18" x14ac:dyDescent="0.25">
      <c r="A92" s="35" t="s">
        <v>78</v>
      </c>
      <c r="B92" s="35"/>
      <c r="C92" s="35"/>
      <c r="D92" s="35"/>
      <c r="E92" s="35"/>
      <c r="F92" s="35"/>
      <c r="G92" s="35"/>
      <c r="H92" s="35"/>
      <c r="I92" s="35"/>
    </row>
    <row r="94" spans="1:9" ht="15.6" customHeight="1" x14ac:dyDescent="0.25">
      <c r="A94" s="36" t="s">
        <v>81</v>
      </c>
      <c r="B94" s="36" t="s">
        <v>80</v>
      </c>
      <c r="C94" s="36" t="s">
        <v>84</v>
      </c>
      <c r="D94" s="36"/>
      <c r="E94" s="36"/>
      <c r="F94" s="36"/>
      <c r="G94" s="36"/>
      <c r="H94" s="36"/>
      <c r="I94" s="36"/>
    </row>
    <row r="95" spans="1:9" ht="18" x14ac:dyDescent="0.25">
      <c r="A95" s="36"/>
      <c r="B95" s="36"/>
      <c r="C95" s="5" t="s">
        <v>82</v>
      </c>
      <c r="D95" s="5" t="s">
        <v>83</v>
      </c>
      <c r="E95" s="36" t="s">
        <v>85</v>
      </c>
      <c r="F95" s="36"/>
      <c r="G95" s="36"/>
      <c r="H95" s="36"/>
      <c r="I95" s="36"/>
    </row>
    <row r="96" spans="1:9" x14ac:dyDescent="0.25">
      <c r="A96" s="1">
        <v>0</v>
      </c>
      <c r="B96" s="1">
        <v>1</v>
      </c>
      <c r="C96" s="13" cm="1">
        <f t="array" ref="C96:D104">[2]!Poly_Roots(B96:B105)</f>
        <v>-0.74705407486515629</v>
      </c>
      <c r="D96" s="13">
        <v>0</v>
      </c>
      <c r="E96" s="42" t="str">
        <f>COMPLEX(C96,D96,"j")</f>
        <v>-0,747054074865156</v>
      </c>
      <c r="F96" s="42"/>
      <c r="G96" s="42"/>
      <c r="H96" s="42"/>
      <c r="I96" s="42"/>
    </row>
    <row r="97" spans="1:9" x14ac:dyDescent="0.25">
      <c r="A97" s="1">
        <v>1</v>
      </c>
      <c r="B97" s="1">
        <v>2</v>
      </c>
      <c r="C97" s="14">
        <v>-0.61751821239237759</v>
      </c>
      <c r="D97" s="14">
        <v>0.42610333495797281</v>
      </c>
      <c r="E97" s="42" t="str">
        <f t="shared" ref="E97:E104" si="0">COMPLEX(C97,D97,"j")</f>
        <v>-0,617518212392378+0,426103334957973j</v>
      </c>
      <c r="F97" s="42"/>
      <c r="G97" s="42"/>
      <c r="H97" s="42"/>
      <c r="I97" s="42"/>
    </row>
    <row r="98" spans="1:9" x14ac:dyDescent="0.25">
      <c r="A98" s="1">
        <v>2</v>
      </c>
      <c r="B98" s="1">
        <v>3</v>
      </c>
      <c r="C98" s="14">
        <v>-0.61751821239237792</v>
      </c>
      <c r="D98" s="14">
        <v>-0.42610333495797276</v>
      </c>
      <c r="E98" s="42" t="str">
        <f t="shared" si="0"/>
        <v>-0,617518212392378-0,426103334957973j</v>
      </c>
      <c r="F98" s="42"/>
      <c r="G98" s="42"/>
      <c r="H98" s="42"/>
      <c r="I98" s="42"/>
    </row>
    <row r="99" spans="1:9" x14ac:dyDescent="0.25">
      <c r="A99" s="1">
        <v>3</v>
      </c>
      <c r="B99" s="1">
        <v>4</v>
      </c>
      <c r="C99" s="14">
        <v>-0.26941156929054183</v>
      </c>
      <c r="D99" s="14">
        <v>0.71129420723519199</v>
      </c>
      <c r="E99" s="42" t="str">
        <f t="shared" si="0"/>
        <v>-0,269411569290542+0,711294207235192j</v>
      </c>
      <c r="F99" s="42"/>
      <c r="G99" s="42"/>
      <c r="H99" s="42"/>
      <c r="I99" s="42"/>
    </row>
    <row r="100" spans="1:9" x14ac:dyDescent="0.25">
      <c r="A100" s="1">
        <v>4</v>
      </c>
      <c r="B100" s="1">
        <v>5</v>
      </c>
      <c r="C100" s="14">
        <v>-0.26941156929054177</v>
      </c>
      <c r="D100" s="14">
        <v>-0.71129420723519232</v>
      </c>
      <c r="E100" s="42" t="str">
        <f t="shared" si="0"/>
        <v>-0,269411569290542-0,711294207235192j</v>
      </c>
      <c r="F100" s="42"/>
      <c r="G100" s="42"/>
      <c r="H100" s="42"/>
      <c r="I100" s="42"/>
    </row>
    <row r="101" spans="1:9" x14ac:dyDescent="0.25">
      <c r="A101" s="1">
        <v>5</v>
      </c>
      <c r="B101" s="1">
        <v>6</v>
      </c>
      <c r="C101" s="14">
        <v>0.18925430628889323</v>
      </c>
      <c r="D101" s="14">
        <v>-0.75769928451882163</v>
      </c>
      <c r="E101" s="42" t="str">
        <f t="shared" si="0"/>
        <v>0,189254306288893-0,757699284518822j</v>
      </c>
      <c r="F101" s="42"/>
      <c r="G101" s="42"/>
      <c r="H101" s="42"/>
      <c r="I101" s="42"/>
    </row>
    <row r="102" spans="1:9" x14ac:dyDescent="0.25">
      <c r="A102" s="1">
        <v>6</v>
      </c>
      <c r="B102" s="1">
        <v>7</v>
      </c>
      <c r="C102" s="14">
        <v>0.18925430628889317</v>
      </c>
      <c r="D102" s="14">
        <v>0.75769928451882163</v>
      </c>
      <c r="E102" s="42" t="str">
        <f t="shared" si="0"/>
        <v>0,189254306288893+0,757699284518822j</v>
      </c>
      <c r="F102" s="42"/>
      <c r="G102" s="42"/>
      <c r="H102" s="42"/>
      <c r="I102" s="42"/>
    </row>
    <row r="103" spans="1:9" x14ac:dyDescent="0.25">
      <c r="A103" s="1">
        <v>7</v>
      </c>
      <c r="B103" s="1">
        <v>8</v>
      </c>
      <c r="C103" s="14">
        <v>0.62120251282660455</v>
      </c>
      <c r="D103" s="14">
        <v>-0.53670688370113562</v>
      </c>
      <c r="E103" s="42" t="str">
        <f t="shared" si="0"/>
        <v>0,621202512826605-0,536706883701136j</v>
      </c>
      <c r="F103" s="42"/>
      <c r="G103" s="42"/>
      <c r="H103" s="42"/>
      <c r="I103" s="42"/>
    </row>
    <row r="104" spans="1:9" x14ac:dyDescent="0.25">
      <c r="A104" s="1">
        <v>8</v>
      </c>
      <c r="B104" s="1">
        <v>9</v>
      </c>
      <c r="C104" s="14">
        <v>0.62120251282660444</v>
      </c>
      <c r="D104" s="14">
        <v>0.53670688370113573</v>
      </c>
      <c r="E104" s="42" t="str">
        <f t="shared" si="0"/>
        <v>0,621202512826604+0,536706883701136j</v>
      </c>
      <c r="F104" s="42"/>
      <c r="G104" s="42"/>
      <c r="H104" s="42"/>
      <c r="I104" s="42"/>
    </row>
    <row r="105" spans="1:9" x14ac:dyDescent="0.25">
      <c r="A105" s="1">
        <v>9</v>
      </c>
      <c r="B105" s="1">
        <v>10</v>
      </c>
    </row>
    <row r="107" spans="1:9" x14ac:dyDescent="0.25">
      <c r="A107" s="35" t="s">
        <v>86</v>
      </c>
      <c r="B107" s="35"/>
      <c r="C107" s="35"/>
      <c r="D107" s="35"/>
    </row>
    <row r="108" spans="1:9" x14ac:dyDescent="0.25">
      <c r="A108" s="35" t="s">
        <v>111</v>
      </c>
      <c r="B108" s="35"/>
      <c r="C108" s="35"/>
      <c r="D108" s="35"/>
    </row>
    <row r="110" spans="1:9" x14ac:dyDescent="0.25">
      <c r="A110" s="36" t="s">
        <v>65</v>
      </c>
      <c r="B110" s="36"/>
      <c r="C110" s="36" t="s">
        <v>87</v>
      </c>
      <c r="D110" s="36"/>
    </row>
    <row r="111" spans="1:9" x14ac:dyDescent="0.25">
      <c r="A111" s="48">
        <v>2</v>
      </c>
      <c r="B111" s="48"/>
      <c r="C111" s="42" t="str" cm="1">
        <f t="array" ref="C111">[1]!prime(A111)</f>
        <v>P</v>
      </c>
      <c r="D111" s="42"/>
    </row>
    <row r="112" spans="1:9" x14ac:dyDescent="0.25">
      <c r="A112" s="48">
        <v>111</v>
      </c>
      <c r="B112" s="48"/>
      <c r="C112" s="42" cm="1">
        <f t="array" ref="C112">[1]!prime(A112)</f>
        <v>3</v>
      </c>
      <c r="D112" s="42"/>
    </row>
    <row r="113" spans="1:7" x14ac:dyDescent="0.25">
      <c r="A113" s="48">
        <v>12313</v>
      </c>
      <c r="B113" s="48"/>
      <c r="C113" s="42" cm="1">
        <f t="array" ref="C113">[1]!prime(A113)</f>
        <v>7</v>
      </c>
      <c r="D113" s="42"/>
    </row>
    <row r="114" spans="1:7" x14ac:dyDescent="0.25">
      <c r="A114" s="48">
        <v>23</v>
      </c>
      <c r="B114" s="48"/>
      <c r="C114" s="42" t="str" cm="1">
        <f t="array" ref="C114">[1]!prime(A114)</f>
        <v>P</v>
      </c>
      <c r="D114" s="42"/>
    </row>
    <row r="115" spans="1:7" x14ac:dyDescent="0.25">
      <c r="A115" s="48">
        <v>145823</v>
      </c>
      <c r="B115" s="48"/>
      <c r="C115" s="42" t="str" cm="1">
        <f t="array" ref="C115">[1]!prime(A115)</f>
        <v>P</v>
      </c>
      <c r="D115" s="42"/>
    </row>
    <row r="116" spans="1:7" x14ac:dyDescent="0.25">
      <c r="A116" s="48">
        <v>997</v>
      </c>
      <c r="B116" s="48"/>
      <c r="C116" s="42" t="str" cm="1">
        <f t="array" ref="C116">[1]!prime(A116)</f>
        <v>P</v>
      </c>
      <c r="D116" s="42"/>
    </row>
    <row r="118" spans="1:7" x14ac:dyDescent="0.25">
      <c r="A118" s="35" t="s">
        <v>89</v>
      </c>
      <c r="B118" s="35"/>
      <c r="C118" s="35"/>
      <c r="D118" s="35"/>
      <c r="E118" s="35"/>
    </row>
    <row r="119" spans="1:7" x14ac:dyDescent="0.25">
      <c r="A119" s="35" t="s">
        <v>121</v>
      </c>
      <c r="B119" s="35"/>
      <c r="C119" s="35"/>
      <c r="D119" s="35"/>
      <c r="E119" s="35"/>
    </row>
    <row r="121" spans="1:7" x14ac:dyDescent="0.25">
      <c r="A121" s="36" t="s">
        <v>90</v>
      </c>
      <c r="B121" s="36"/>
      <c r="C121" s="36" t="s">
        <v>79</v>
      </c>
      <c r="D121" s="36" t="s">
        <v>1</v>
      </c>
      <c r="E121" s="36"/>
    </row>
    <row r="122" spans="1:7" x14ac:dyDescent="0.25">
      <c r="A122" s="36"/>
      <c r="B122" s="36"/>
      <c r="C122" s="36"/>
      <c r="D122" s="36"/>
      <c r="E122" s="36"/>
    </row>
    <row r="123" spans="1:7" x14ac:dyDescent="0.25">
      <c r="A123" s="49" t="s">
        <v>91</v>
      </c>
      <c r="B123" s="49"/>
      <c r="C123" s="11">
        <v>0</v>
      </c>
      <c r="D123" s="11">
        <v>0.4</v>
      </c>
      <c r="E123" s="29">
        <f t="array" ref="E123">[1]!integr_ro(A123,C123,D123)</f>
        <v>7.6828330926345278E-2</v>
      </c>
    </row>
    <row r="124" spans="1:7" x14ac:dyDescent="0.25">
      <c r="A124" s="49" t="s">
        <v>92</v>
      </c>
      <c r="B124" s="49"/>
      <c r="C124" s="11">
        <v>0</v>
      </c>
      <c r="D124" s="11">
        <v>4</v>
      </c>
      <c r="E124" s="16">
        <f t="array" ref="E124:G124">[1]!integr_ro(A124,C124,D124)</f>
        <v>64</v>
      </c>
      <c r="F124" s="55">
        <v>4</v>
      </c>
      <c r="G124" s="55">
        <v>0</v>
      </c>
    </row>
    <row r="125" spans="1:7" x14ac:dyDescent="0.25">
      <c r="A125" s="49" t="s">
        <v>94</v>
      </c>
      <c r="B125" s="49"/>
      <c r="C125" s="11">
        <v>0</v>
      </c>
      <c r="D125" s="11">
        <v>1</v>
      </c>
      <c r="E125" s="16">
        <f t="array" ref="E125">[1]!integr_ro(A125,C125,D125)</f>
        <v>0.45969769413186023</v>
      </c>
    </row>
    <row r="126" spans="1:7" x14ac:dyDescent="0.25">
      <c r="A126" s="49" t="s">
        <v>93</v>
      </c>
      <c r="B126" s="49"/>
      <c r="C126" s="11">
        <v>-1</v>
      </c>
      <c r="D126" s="11">
        <v>1</v>
      </c>
      <c r="E126" s="16">
        <f t="array" ref="E126">[1]!integr_ro(A126,C126,D126)</f>
        <v>2.3504023872876036</v>
      </c>
    </row>
    <row r="127" spans="1:7" x14ac:dyDescent="0.25">
      <c r="A127" s="49" t="s">
        <v>95</v>
      </c>
      <c r="B127" s="49"/>
      <c r="C127" s="11">
        <v>-2</v>
      </c>
      <c r="D127" s="11">
        <v>2</v>
      </c>
      <c r="E127" s="16">
        <f t="array" ref="E127">[1]!integr_ro(A127,C127,D127)</f>
        <v>10.666666666666666</v>
      </c>
    </row>
    <row r="128" spans="1:7" x14ac:dyDescent="0.25">
      <c r="A128" s="49" t="s">
        <v>96</v>
      </c>
      <c r="B128" s="49"/>
      <c r="C128" s="11">
        <v>0</v>
      </c>
      <c r="D128" s="11">
        <v>10</v>
      </c>
      <c r="E128" s="16">
        <f t="array" ref="E128">[1]!integr_ro(A128,C128,D128)</f>
        <v>21.081850033984381</v>
      </c>
    </row>
    <row r="130" spans="1:9" x14ac:dyDescent="0.25">
      <c r="A130" s="35" t="s">
        <v>104</v>
      </c>
      <c r="B130" s="35"/>
      <c r="C130" s="35"/>
      <c r="D130" s="35"/>
      <c r="E130" s="35"/>
    </row>
    <row r="131" spans="1:9" x14ac:dyDescent="0.25">
      <c r="A131" s="35" t="s">
        <v>122</v>
      </c>
      <c r="B131" s="35"/>
      <c r="C131" s="35"/>
      <c r="D131" s="35"/>
      <c r="E131" s="35"/>
    </row>
    <row r="133" spans="1:9" ht="18" x14ac:dyDescent="0.25">
      <c r="A133" s="12" t="s">
        <v>81</v>
      </c>
      <c r="B133" s="12" t="s">
        <v>97</v>
      </c>
      <c r="C133" s="5" t="s">
        <v>110</v>
      </c>
      <c r="F133" s="36" t="s">
        <v>108</v>
      </c>
      <c r="G133" s="36" t="s">
        <v>107</v>
      </c>
      <c r="H133" s="36"/>
      <c r="I133" s="36"/>
    </row>
    <row r="134" spans="1:9" x14ac:dyDescent="0.25">
      <c r="A134" s="1">
        <v>0</v>
      </c>
      <c r="B134" s="10">
        <v>0</v>
      </c>
      <c r="C134" s="28">
        <v>1</v>
      </c>
      <c r="F134" s="36"/>
      <c r="G134" s="36"/>
      <c r="H134" s="36"/>
      <c r="I134" s="36"/>
    </row>
    <row r="135" spans="1:9" x14ac:dyDescent="0.25">
      <c r="A135" s="1">
        <v>1</v>
      </c>
      <c r="B135" s="10">
        <v>0.2</v>
      </c>
      <c r="C135" s="22">
        <f>SIN(B135)/B135</f>
        <v>0.99334665397530608</v>
      </c>
      <c r="F135" s="17" t="s">
        <v>139</v>
      </c>
      <c r="G135" s="17">
        <v>1</v>
      </c>
      <c r="H135" s="43" cm="1">
        <f t="array" ref="H135">[1]!IntegrDataC($B$134:$B$142,$C$134:$C$142,G135)</f>
        <v>1.3878176101409845</v>
      </c>
      <c r="I135" s="43"/>
    </row>
    <row r="136" spans="1:9" x14ac:dyDescent="0.25">
      <c r="A136" s="1">
        <v>2</v>
      </c>
      <c r="B136" s="10">
        <v>0.4</v>
      </c>
      <c r="C136" s="22">
        <f t="shared" ref="C136:C142" si="1">SIN(B136)/B136</f>
        <v>0.97354585577162622</v>
      </c>
      <c r="F136" s="17" t="s">
        <v>109</v>
      </c>
      <c r="G136" s="17">
        <v>2</v>
      </c>
      <c r="H136" s="43" cm="1">
        <f t="array" ref="H136">[1]!IntegrDataC($B$134:$B$142,$C$134:$C$142,G136)</f>
        <v>1.3891825523676431</v>
      </c>
      <c r="I136" s="43"/>
    </row>
    <row r="137" spans="1:9" x14ac:dyDescent="0.25">
      <c r="A137" s="1">
        <v>3</v>
      </c>
      <c r="B137" s="10">
        <v>0.6</v>
      </c>
      <c r="C137" s="22">
        <f t="shared" si="1"/>
        <v>0.94107078899172569</v>
      </c>
    </row>
    <row r="138" spans="1:9" x14ac:dyDescent="0.25">
      <c r="A138" s="1">
        <v>4</v>
      </c>
      <c r="B138" s="10">
        <v>0.8</v>
      </c>
      <c r="C138" s="22">
        <f t="shared" si="1"/>
        <v>0.89669511362440346</v>
      </c>
    </row>
    <row r="139" spans="1:9" x14ac:dyDescent="0.25">
      <c r="A139" s="1">
        <v>5</v>
      </c>
      <c r="B139" s="10">
        <v>1</v>
      </c>
      <c r="C139" s="22">
        <f t="shared" si="1"/>
        <v>0.8414709848078965</v>
      </c>
    </row>
    <row r="140" spans="1:9" x14ac:dyDescent="0.25">
      <c r="A140" s="1">
        <v>6</v>
      </c>
      <c r="B140" s="10">
        <v>1.2</v>
      </c>
      <c r="C140" s="22">
        <f t="shared" si="1"/>
        <v>0.77669923830602194</v>
      </c>
    </row>
    <row r="141" spans="1:9" x14ac:dyDescent="0.25">
      <c r="A141" s="1">
        <v>7</v>
      </c>
      <c r="B141" s="10">
        <v>1.4</v>
      </c>
      <c r="C141" s="22">
        <f t="shared" si="1"/>
        <v>0.70389266427747155</v>
      </c>
    </row>
    <row r="142" spans="1:9" x14ac:dyDescent="0.25">
      <c r="A142" s="1">
        <v>8</v>
      </c>
      <c r="B142" s="10">
        <v>1.6</v>
      </c>
      <c r="C142" s="22">
        <f t="shared" si="1"/>
        <v>0.62473350190094068</v>
      </c>
    </row>
    <row r="144" spans="1:9" x14ac:dyDescent="0.25">
      <c r="A144" s="35" t="s">
        <v>105</v>
      </c>
      <c r="B144" s="35"/>
      <c r="C144" s="35"/>
      <c r="D144" s="35"/>
      <c r="E144" s="35"/>
      <c r="F144" s="35"/>
      <c r="G144" s="35"/>
    </row>
    <row r="145" spans="1:10" x14ac:dyDescent="0.25">
      <c r="A145" s="35" t="s">
        <v>123</v>
      </c>
      <c r="B145" s="35"/>
      <c r="C145" s="35"/>
      <c r="D145" s="35"/>
      <c r="E145" s="35"/>
      <c r="F145" s="35"/>
      <c r="G145" s="35"/>
    </row>
    <row r="147" spans="1:10" ht="14.45" customHeight="1" x14ac:dyDescent="0.25">
      <c r="A147" s="12" t="s">
        <v>81</v>
      </c>
      <c r="B147" s="12" t="s">
        <v>97</v>
      </c>
      <c r="C147" s="12" t="s">
        <v>136</v>
      </c>
      <c r="E147" s="12" t="s">
        <v>137</v>
      </c>
      <c r="F147" s="36" t="s">
        <v>138</v>
      </c>
      <c r="G147" s="36"/>
    </row>
    <row r="148" spans="1:10" x14ac:dyDescent="0.25">
      <c r="A148" s="1">
        <v>0</v>
      </c>
      <c r="B148" s="10">
        <v>0</v>
      </c>
      <c r="C148" s="1">
        <v>0</v>
      </c>
      <c r="E148" s="10">
        <v>0</v>
      </c>
      <c r="F148" s="43" cm="1">
        <f t="array" ref="F148">[1]!cspline_interp($B$148:$B$153,$C$148:$C$153,E148)</f>
        <v>0</v>
      </c>
      <c r="G148" s="43"/>
    </row>
    <row r="149" spans="1:10" x14ac:dyDescent="0.25">
      <c r="A149" s="1">
        <v>1</v>
      </c>
      <c r="B149" s="10">
        <v>1</v>
      </c>
      <c r="C149" s="1">
        <v>2</v>
      </c>
      <c r="E149" s="10">
        <v>0.1</v>
      </c>
      <c r="F149" s="43" cm="1">
        <f t="array" ref="F149">[1]!cspline_interp($B$148:$B$153,$C$148:$C$153,E149)</f>
        <v>0.18005256241787124</v>
      </c>
      <c r="G149" s="43"/>
    </row>
    <row r="150" spans="1:10" x14ac:dyDescent="0.25">
      <c r="A150" s="1">
        <v>2</v>
      </c>
      <c r="B150" s="10">
        <v>2.5</v>
      </c>
      <c r="C150" s="1">
        <v>4</v>
      </c>
      <c r="E150" s="10">
        <v>0.2</v>
      </c>
      <c r="F150" s="43" cm="1">
        <f t="array" ref="F150">[1]!cspline_interp($B$148:$B$153,$C$148:$C$153,E150)</f>
        <v>0.36131406044678055</v>
      </c>
      <c r="G150" s="43"/>
    </row>
    <row r="151" spans="1:10" x14ac:dyDescent="0.25">
      <c r="A151" s="1">
        <v>3</v>
      </c>
      <c r="B151" s="10">
        <v>3</v>
      </c>
      <c r="C151" s="1">
        <v>3</v>
      </c>
      <c r="E151" s="10">
        <v>0.3</v>
      </c>
      <c r="F151" s="43" cm="1">
        <f t="array" ref="F151">[1]!cspline_interp($B$148:$B$153,$C$148:$C$153,E151)</f>
        <v>0.5449934296977661</v>
      </c>
      <c r="G151" s="43"/>
    </row>
    <row r="152" spans="1:10" x14ac:dyDescent="0.25">
      <c r="A152" s="1">
        <v>4</v>
      </c>
      <c r="B152" s="10">
        <v>4</v>
      </c>
      <c r="C152" s="1">
        <v>4</v>
      </c>
      <c r="E152" s="10">
        <v>0.4</v>
      </c>
      <c r="F152" s="43" cm="1">
        <f t="array" ref="F152">[1]!cspline_interp($B$148:$B$153,$C$148:$C$153,E152)</f>
        <v>0.73229960578186604</v>
      </c>
      <c r="G152" s="43"/>
    </row>
    <row r="153" spans="1:10" x14ac:dyDescent="0.25">
      <c r="A153" s="1">
        <v>5</v>
      </c>
      <c r="B153" s="10">
        <v>5</v>
      </c>
      <c r="C153" s="1">
        <v>1</v>
      </c>
      <c r="E153" s="10">
        <v>0.5</v>
      </c>
      <c r="F153" s="43" cm="1">
        <f t="array" ref="F153">[1]!cspline_interp($B$148:$B$153,$C$148:$C$153,E153)</f>
        <v>0.92444152431011828</v>
      </c>
      <c r="G153" s="43"/>
    </row>
    <row r="154" spans="1:10" x14ac:dyDescent="0.25">
      <c r="E154" s="10">
        <v>0.6</v>
      </c>
      <c r="F154" s="43" cm="1">
        <f t="array" ref="F154">[1]!cspline_interp($B$148:$B$153,$C$148:$C$153,E154)</f>
        <v>1.1226281208935611</v>
      </c>
      <c r="G154" s="43"/>
    </row>
    <row r="155" spans="1:10" x14ac:dyDescent="0.25">
      <c r="E155" s="10">
        <v>0.7</v>
      </c>
      <c r="F155" s="43" cm="1">
        <f t="array" ref="F155">[1]!cspline_interp($B$148:$B$153,$C$148:$C$153,E155)</f>
        <v>1.3280683311432324</v>
      </c>
      <c r="G155" s="43"/>
    </row>
    <row r="156" spans="1:10" x14ac:dyDescent="0.25">
      <c r="E156" s="10">
        <v>0.8</v>
      </c>
      <c r="F156" s="43" cm="1">
        <f t="array" ref="F156">[1]!cspline_interp($B$148:$B$153,$C$148:$C$153,E156)</f>
        <v>1.5419710906701709</v>
      </c>
      <c r="G156" s="43"/>
    </row>
    <row r="158" spans="1:10" ht="17.25" x14ac:dyDescent="0.25">
      <c r="A158" s="35" t="s">
        <v>106</v>
      </c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25">
      <c r="A159" s="35" t="s">
        <v>124</v>
      </c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25">
      <c r="A160" s="9"/>
      <c r="B160" s="9"/>
      <c r="C160" s="9"/>
      <c r="D160" s="9"/>
      <c r="E160" s="9" t="s">
        <v>98</v>
      </c>
      <c r="F160" s="9"/>
      <c r="G160" s="9"/>
      <c r="H160" s="9"/>
      <c r="I160" s="9"/>
      <c r="J160" s="9"/>
    </row>
    <row r="162" spans="1:4" x14ac:dyDescent="0.25">
      <c r="A162" s="5" t="s">
        <v>100</v>
      </c>
      <c r="B162" s="12" t="s">
        <v>2</v>
      </c>
      <c r="C162" s="5" t="s">
        <v>88</v>
      </c>
      <c r="D162" s="5" t="s">
        <v>99</v>
      </c>
    </row>
    <row r="163" spans="1:4" x14ac:dyDescent="0.25">
      <c r="A163" s="1" t="s">
        <v>98</v>
      </c>
      <c r="B163" s="10">
        <v>0</v>
      </c>
      <c r="C163" s="1">
        <v>1</v>
      </c>
      <c r="D163" s="1">
        <v>0.1</v>
      </c>
    </row>
    <row r="164" spans="1:4" x14ac:dyDescent="0.25">
      <c r="B164" s="29" cm="1">
        <f t="array" ref="B164:C164">[1]!ODE_RK4($A$163,B163:C163,$D$163)</f>
        <v>0.1</v>
      </c>
      <c r="C164" s="56">
        <v>0.9900498333333333</v>
      </c>
    </row>
    <row r="165" spans="1:4" x14ac:dyDescent="0.25">
      <c r="B165" s="15" cm="1">
        <f t="array" ref="B165:C165">[1]!ODE_RK4($A$163,B164:C164,$D$163)</f>
        <v>0.2</v>
      </c>
      <c r="C165" s="16">
        <v>0.96078943523557825</v>
      </c>
    </row>
    <row r="166" spans="1:4" x14ac:dyDescent="0.25">
      <c r="B166" s="15" cm="1">
        <f t="array" ref="B166:C166">[1]!ODE_RK4($A$163,B165:C165,$D$163)</f>
        <v>0.30000000000000004</v>
      </c>
      <c r="C166" s="16">
        <v>0.91393117401863522</v>
      </c>
    </row>
    <row r="167" spans="1:4" x14ac:dyDescent="0.25">
      <c r="B167" s="15" cm="1">
        <f t="array" ref="B167:C167">[1]!ODE_RK4($A$163,B166:C166,$D$163)</f>
        <v>0.4</v>
      </c>
      <c r="C167" s="16">
        <v>0.85214377246744555</v>
      </c>
    </row>
    <row r="168" spans="1:4" x14ac:dyDescent="0.25">
      <c r="B168" s="15" cm="1">
        <f t="array" ref="B168:C168">[1]!ODE_RK4($A$163,B167:C167,$D$163)</f>
        <v>0.5</v>
      </c>
      <c r="C168" s="16">
        <v>0.7788007805436995</v>
      </c>
    </row>
    <row r="169" spans="1:4" x14ac:dyDescent="0.25">
      <c r="B169" s="15" cm="1">
        <f t="array" ref="B169:C169">[1]!ODE_RK4($A$163,B168:C168,$D$163)</f>
        <v>0.6</v>
      </c>
      <c r="C169" s="16">
        <v>0.6976763871777536</v>
      </c>
    </row>
    <row r="170" spans="1:4" x14ac:dyDescent="0.25">
      <c r="B170" s="15" cm="1">
        <f t="array" ref="B170:C170">[1]!ODE_RK4($A$163,B169:C169,$D$163)</f>
        <v>0.7</v>
      </c>
      <c r="C170" s="16">
        <v>0.61262660999085305</v>
      </c>
    </row>
    <row r="171" spans="1:4" x14ac:dyDescent="0.25">
      <c r="B171" s="15" cm="1">
        <f t="array" ref="B171:C171">[1]!ODE_RK4($A$163,B170:C170,$D$163)</f>
        <v>0.79999999999999993</v>
      </c>
      <c r="C171" s="16">
        <v>0.52729293054531212</v>
      </c>
    </row>
    <row r="172" spans="1:4" x14ac:dyDescent="0.25">
      <c r="B172" s="15" cm="1">
        <f t="array" ref="B172:C172">[1]!ODE_RK4($A$163,B171:C171,$D$163)</f>
        <v>0.89999999999999991</v>
      </c>
      <c r="C172" s="16">
        <v>0.4448590366898586</v>
      </c>
    </row>
    <row r="173" spans="1:4" x14ac:dyDescent="0.25">
      <c r="B173" s="15" cm="1">
        <f t="array" ref="B173:C173">[1]!ODE_RK4($A$163,B172:C172,$D$163)</f>
        <v>0.99999999999999989</v>
      </c>
      <c r="C173" s="16">
        <v>0.3678810664257649</v>
      </c>
    </row>
    <row r="174" spans="1:4" x14ac:dyDescent="0.25">
      <c r="B174" s="15" cm="1">
        <f t="array" ref="B174:C174">[1]!ODE_RK4($A$163,B173:C173,$D$163)</f>
        <v>1.0999999999999999</v>
      </c>
      <c r="C174" s="16">
        <v>0.29819973874923478</v>
      </c>
    </row>
    <row r="175" spans="1:4" x14ac:dyDescent="0.25">
      <c r="B175" s="15" cm="1">
        <f t="array" ref="B175:C175">[1]!ODE_RK4($A$163,B174:C174,$D$163)</f>
        <v>1.2</v>
      </c>
      <c r="C175" s="16">
        <v>0.23693118704219668</v>
      </c>
    </row>
    <row r="176" spans="1:4" x14ac:dyDescent="0.25">
      <c r="B176" s="15" cm="1">
        <f t="array" ref="B176:C176">[1]!ODE_RK4($A$163,B175:C175,$D$163)</f>
        <v>1.3</v>
      </c>
      <c r="C176" s="16">
        <v>0.18452398289502145</v>
      </c>
    </row>
    <row r="177" spans="2:3" x14ac:dyDescent="0.25">
      <c r="B177" s="15" cm="1">
        <f t="array" ref="B177:C177">[1]!ODE_RK4($A$163,B176:C176,$D$163)</f>
        <v>1.4000000000000001</v>
      </c>
      <c r="C177" s="16">
        <v>0.14086387955233964</v>
      </c>
    </row>
    <row r="178" spans="2:3" x14ac:dyDescent="0.25">
      <c r="B178" s="15" cm="1">
        <f t="array" ref="B178:C178">[1]!ODE_RK4($A$163,B177:C177,$D$163)</f>
        <v>1.5000000000000002</v>
      </c>
      <c r="C178" s="16">
        <v>0.10540555570721624</v>
      </c>
    </row>
  </sheetData>
  <mergeCells count="144">
    <mergeCell ref="A158:J158"/>
    <mergeCell ref="A159:J159"/>
    <mergeCell ref="F151:G151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A125:B125"/>
    <mergeCell ref="A126:B126"/>
    <mergeCell ref="A127:B127"/>
    <mergeCell ref="A128:B128"/>
    <mergeCell ref="A144:G144"/>
    <mergeCell ref="A145:G145"/>
    <mergeCell ref="A123:B123"/>
    <mergeCell ref="A121:B122"/>
    <mergeCell ref="C121:C122"/>
    <mergeCell ref="D121:D122"/>
    <mergeCell ref="E121:E122"/>
    <mergeCell ref="A124:B124"/>
    <mergeCell ref="A130:E130"/>
    <mergeCell ref="A131:E131"/>
    <mergeCell ref="F133:F134"/>
    <mergeCell ref="C115:D115"/>
    <mergeCell ref="C116:D116"/>
    <mergeCell ref="A118:E118"/>
    <mergeCell ref="A119:E119"/>
    <mergeCell ref="A110:B110"/>
    <mergeCell ref="A111:B111"/>
    <mergeCell ref="A112:B112"/>
    <mergeCell ref="A113:B113"/>
    <mergeCell ref="A114:B114"/>
    <mergeCell ref="A115:B115"/>
    <mergeCell ref="A116:B116"/>
    <mergeCell ref="C110:D110"/>
    <mergeCell ref="C111:D111"/>
    <mergeCell ref="C112:D112"/>
    <mergeCell ref="C113:D113"/>
    <mergeCell ref="C114:D114"/>
    <mergeCell ref="E95:I95"/>
    <mergeCell ref="A90:I90"/>
    <mergeCell ref="A91:I91"/>
    <mergeCell ref="A92:I92"/>
    <mergeCell ref="A107:D107"/>
    <mergeCell ref="A108:D108"/>
    <mergeCell ref="E96:I96"/>
    <mergeCell ref="E97:I97"/>
    <mergeCell ref="E98:I98"/>
    <mergeCell ref="E99:I99"/>
    <mergeCell ref="E100:I100"/>
    <mergeCell ref="E101:I101"/>
    <mergeCell ref="E102:I102"/>
    <mergeCell ref="E103:I103"/>
    <mergeCell ref="E104:I104"/>
    <mergeCell ref="A94:A95"/>
    <mergeCell ref="B94:B95"/>
    <mergeCell ref="C94:I94"/>
    <mergeCell ref="B86:G86"/>
    <mergeCell ref="B87:G87"/>
    <mergeCell ref="B88:G88"/>
    <mergeCell ref="B79:F79"/>
    <mergeCell ref="B80:F80"/>
    <mergeCell ref="B81:F81"/>
    <mergeCell ref="B83:G83"/>
    <mergeCell ref="B84:G84"/>
    <mergeCell ref="B85:G85"/>
    <mergeCell ref="B73:F73"/>
    <mergeCell ref="B74:F74"/>
    <mergeCell ref="B75:F75"/>
    <mergeCell ref="B76:F76"/>
    <mergeCell ref="B77:F77"/>
    <mergeCell ref="B78:F78"/>
    <mergeCell ref="B66:F66"/>
    <mergeCell ref="B67:F67"/>
    <mergeCell ref="B68:F68"/>
    <mergeCell ref="B70:F70"/>
    <mergeCell ref="B71:F71"/>
    <mergeCell ref="B72:F72"/>
    <mergeCell ref="B60:F60"/>
    <mergeCell ref="B61:F61"/>
    <mergeCell ref="B62:F62"/>
    <mergeCell ref="B63:F63"/>
    <mergeCell ref="B64:F64"/>
    <mergeCell ref="B65:F65"/>
    <mergeCell ref="B47:G47"/>
    <mergeCell ref="A54:F54"/>
    <mergeCell ref="A55:F55"/>
    <mergeCell ref="B57:F57"/>
    <mergeCell ref="B58:F58"/>
    <mergeCell ref="B59:F59"/>
    <mergeCell ref="B52:G52"/>
    <mergeCell ref="B49:G49"/>
    <mergeCell ref="B50:G50"/>
    <mergeCell ref="B51:G51"/>
    <mergeCell ref="B48:G48"/>
    <mergeCell ref="B21:F21"/>
    <mergeCell ref="B22:F22"/>
    <mergeCell ref="B23:F23"/>
    <mergeCell ref="B24:F24"/>
    <mergeCell ref="B25:F25"/>
    <mergeCell ref="B26:F26"/>
    <mergeCell ref="B27:F27"/>
    <mergeCell ref="B28:F28"/>
    <mergeCell ref="B29:F29"/>
    <mergeCell ref="B30:F30"/>
    <mergeCell ref="B41:F41"/>
    <mergeCell ref="B42:F42"/>
    <mergeCell ref="B43:F43"/>
    <mergeCell ref="B44:F44"/>
    <mergeCell ref="B45:F45"/>
    <mergeCell ref="B35:F35"/>
    <mergeCell ref="B36:F36"/>
    <mergeCell ref="B37:F37"/>
    <mergeCell ref="B38:F38"/>
    <mergeCell ref="B39:F39"/>
    <mergeCell ref="B40:F40"/>
    <mergeCell ref="H135:I135"/>
    <mergeCell ref="H136:I136"/>
    <mergeCell ref="G133:G134"/>
    <mergeCell ref="H133:I134"/>
    <mergeCell ref="A1:G1"/>
    <mergeCell ref="A2:G2"/>
    <mergeCell ref="B4:G4"/>
    <mergeCell ref="B11:G11"/>
    <mergeCell ref="B12:G12"/>
    <mergeCell ref="B13:G13"/>
    <mergeCell ref="B14:G14"/>
    <mergeCell ref="B15:G15"/>
    <mergeCell ref="B16:G16"/>
    <mergeCell ref="B5:G5"/>
    <mergeCell ref="B6:G6"/>
    <mergeCell ref="B7:G7"/>
    <mergeCell ref="B8:G8"/>
    <mergeCell ref="B9:G9"/>
    <mergeCell ref="B10:G10"/>
    <mergeCell ref="B31:F31"/>
    <mergeCell ref="B32:F32"/>
    <mergeCell ref="A18:F18"/>
    <mergeCell ref="A19:F19"/>
    <mergeCell ref="B34:F3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Carregue os suplementos</vt:lpstr>
      <vt:lpstr>MatrixL</vt:lpstr>
      <vt:lpstr>xnumbers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Lincoln Cesar Zamboni</dc:creator>
  <cp:lastModifiedBy>Erick Seiji</cp:lastModifiedBy>
  <dcterms:created xsi:type="dcterms:W3CDTF">2015-07-21T17:50:41Z</dcterms:created>
  <dcterms:modified xsi:type="dcterms:W3CDTF">2020-09-29T16:11:03Z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ac9cb9ee-43a5-4e81-9c71-327c034710c2</vt:lpwstr>
  </property>
</Properties>
</file>