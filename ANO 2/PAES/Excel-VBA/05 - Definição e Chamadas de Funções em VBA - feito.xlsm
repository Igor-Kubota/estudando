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Erick\Desktop\jogos\IMT\ANO 2\Excel-VBA\"/>
    </mc:Choice>
  </mc:AlternateContent>
  <xr:revisionPtr revIDLastSave="0" documentId="8_{BE66FCE0-07A8-4942-B4AF-60DA73BFD77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hamadas da funções" sheetId="1" r:id="rId1"/>
  </sheets>
  <functionGroups builtInGroupCount="19"/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" l="1"/>
  <c r="F22" i="1"/>
  <c r="F23" i="1"/>
  <c r="F24" i="1"/>
  <c r="F25" i="1"/>
  <c r="F26" i="1"/>
  <c r="F27" i="1"/>
  <c r="F28" i="1"/>
  <c r="F29" i="1"/>
  <c r="F30" i="1"/>
  <c r="F31" i="1"/>
  <c r="F32" i="1"/>
  <c r="F20" i="1"/>
  <c r="H5" i="1"/>
  <c r="H6" i="1"/>
  <c r="H7" i="1"/>
  <c r="H8" i="1"/>
  <c r="H9" i="1"/>
  <c r="H10" i="1"/>
  <c r="H11" i="1"/>
  <c r="H12" i="1"/>
  <c r="H13" i="1"/>
  <c r="H14" i="1"/>
  <c r="H15" i="1"/>
  <c r="H16" i="1"/>
  <c r="H4" i="1"/>
  <c r="D5" i="1"/>
  <c r="D6" i="1"/>
  <c r="D7" i="1"/>
  <c r="D8" i="1"/>
  <c r="D9" i="1"/>
  <c r="D10" i="1"/>
  <c r="D11" i="1"/>
  <c r="D12" i="1"/>
  <c r="D13" i="1"/>
  <c r="D14" i="1"/>
  <c r="D15" i="1"/>
  <c r="D16" i="1"/>
  <c r="D4" i="1"/>
  <c r="N37" i="1" a="1"/>
  <c r="N41" i="1" a="1"/>
  <c r="N39" i="1" a="1"/>
  <c r="N43" i="1" a="1"/>
  <c r="N38" i="1" a="1"/>
  <c r="N42" i="1" a="1"/>
  <c r="N40" i="1" a="1"/>
  <c r="N36" i="1" a="1"/>
  <c r="F37" i="1" a="1"/>
  <c r="F41" i="1" a="1"/>
  <c r="F45" i="1" a="1"/>
  <c r="F42" i="1" a="1"/>
  <c r="F46" i="1" a="1"/>
  <c r="F44" i="1" a="1"/>
  <c r="F38" i="1" a="1"/>
  <c r="F43" i="1" a="1"/>
  <c r="F47" i="1" a="1"/>
  <c r="F48" i="1" a="1"/>
  <c r="F39" i="1" a="1"/>
  <c r="F40" i="1" a="1"/>
  <c r="F36" i="1" a="1"/>
  <c r="C37" i="1" a="1"/>
  <c r="C41" i="1" a="1"/>
  <c r="C45" i="1" a="1"/>
  <c r="C47" i="1" a="1"/>
  <c r="C40" i="1" a="1"/>
  <c r="C42" i="1" a="1"/>
  <c r="C46" i="1" a="1"/>
  <c r="C43" i="1" a="1"/>
  <c r="C44" i="1" a="1"/>
  <c r="C38" i="1" a="1"/>
  <c r="C39" i="1" a="1"/>
  <c r="C48" i="1" a="1"/>
  <c r="C36" i="1" a="1"/>
  <c r="N21" i="1" a="1"/>
  <c r="N25" i="1" a="1"/>
  <c r="N29" i="1" a="1"/>
  <c r="N30" i="1" a="1"/>
  <c r="N26" i="1" a="1"/>
  <c r="N22" i="1" a="1"/>
  <c r="N23" i="1" a="1"/>
  <c r="N27" i="1" a="1"/>
  <c r="N31" i="1" a="1"/>
  <c r="N32" i="1" a="1"/>
  <c r="N28" i="1" a="1"/>
  <c r="N24" i="1" a="1"/>
  <c r="N20" i="1" a="1"/>
  <c r="E21" i="1" a="1"/>
  <c r="E25" i="1" a="1"/>
  <c r="E29" i="1" a="1"/>
  <c r="E22" i="1" a="1"/>
  <c r="E26" i="1" a="1"/>
  <c r="E30" i="1" a="1"/>
  <c r="E28" i="1" a="1"/>
  <c r="E32" i="1" a="1"/>
  <c r="E23" i="1" a="1"/>
  <c r="E27" i="1" a="1"/>
  <c r="E31" i="1" a="1"/>
  <c r="E24" i="1" a="1"/>
  <c r="E20" i="1" a="1"/>
  <c r="N5" i="1" a="1"/>
  <c r="N9" i="1" a="1"/>
  <c r="N13" i="1" a="1"/>
  <c r="N12" i="1" a="1"/>
  <c r="N10" i="1" a="1"/>
  <c r="N14" i="1" a="1"/>
  <c r="N7" i="1" a="1"/>
  <c r="N11" i="1" a="1"/>
  <c r="N15" i="1" a="1"/>
  <c r="N16" i="1" a="1"/>
  <c r="N6" i="1" a="1"/>
  <c r="N8" i="1" a="1"/>
  <c r="N4" i="1" a="1"/>
  <c r="K5" i="1" a="1"/>
  <c r="K9" i="1" a="1"/>
  <c r="K10" i="1" a="1"/>
  <c r="K14" i="1" a="1"/>
  <c r="K11" i="1" a="1"/>
  <c r="K15" i="1" a="1"/>
  <c r="K12" i="1" a="1"/>
  <c r="K16" i="1" a="1"/>
  <c r="K13" i="1" a="1"/>
  <c r="K6" i="1" a="1"/>
  <c r="K8" i="1" a="1"/>
  <c r="K7" i="1" a="1"/>
  <c r="K4" i="1" a="1"/>
  <c r="G5" i="1" a="1"/>
  <c r="G9" i="1" a="1"/>
  <c r="G13" i="1" a="1"/>
  <c r="G10" i="1" a="1"/>
  <c r="G11" i="1" a="1"/>
  <c r="G8" i="1" a="1"/>
  <c r="G16" i="1" a="1"/>
  <c r="G6" i="1" a="1"/>
  <c r="G14" i="1" a="1"/>
  <c r="G7" i="1" a="1"/>
  <c r="G15" i="1" a="1"/>
  <c r="G12" i="1" a="1"/>
  <c r="G4" i="1" a="1"/>
  <c r="C5" i="1" a="1"/>
  <c r="C9" i="1" a="1"/>
  <c r="C13" i="1" a="1"/>
  <c r="C10" i="1" a="1"/>
  <c r="C14" i="1" a="1"/>
  <c r="C7" i="1" a="1"/>
  <c r="C11" i="1" a="1"/>
  <c r="C15" i="1" a="1"/>
  <c r="C8" i="1" a="1"/>
  <c r="C12" i="1" a="1"/>
  <c r="C16" i="1" a="1"/>
  <c r="C6" i="1" a="1"/>
  <c r="C4" i="1" a="1"/>
  <c r="N40" i="1" l="1"/>
  <c r="N42" i="1"/>
  <c r="N38" i="1"/>
  <c r="N43" i="1"/>
  <c r="N39" i="1"/>
  <c r="N41" i="1"/>
  <c r="N37" i="1"/>
  <c r="N36" i="1"/>
  <c r="F40" i="1"/>
  <c r="F39" i="1"/>
  <c r="F48" i="1"/>
  <c r="F47" i="1"/>
  <c r="F43" i="1"/>
  <c r="F38" i="1"/>
  <c r="F44" i="1"/>
  <c r="F46" i="1"/>
  <c r="F42" i="1"/>
  <c r="F45" i="1"/>
  <c r="F41" i="1"/>
  <c r="F37" i="1"/>
  <c r="F36" i="1"/>
  <c r="C48" i="1"/>
  <c r="C39" i="1"/>
  <c r="C38" i="1"/>
  <c r="C44" i="1"/>
  <c r="C43" i="1"/>
  <c r="C46" i="1"/>
  <c r="C42" i="1"/>
  <c r="C40" i="1"/>
  <c r="C47" i="1"/>
  <c r="C45" i="1"/>
  <c r="C41" i="1"/>
  <c r="C37" i="1"/>
  <c r="C36" i="1"/>
  <c r="N24" i="1"/>
  <c r="N28" i="1"/>
  <c r="N32" i="1"/>
  <c r="N31" i="1"/>
  <c r="N27" i="1"/>
  <c r="N23" i="1"/>
  <c r="N22" i="1"/>
  <c r="N26" i="1"/>
  <c r="N30" i="1"/>
  <c r="N29" i="1"/>
  <c r="N25" i="1"/>
  <c r="N21" i="1"/>
  <c r="N20" i="1"/>
  <c r="E24" i="1"/>
  <c r="E31" i="1"/>
  <c r="E27" i="1"/>
  <c r="E23" i="1"/>
  <c r="E32" i="1"/>
  <c r="E28" i="1"/>
  <c r="E30" i="1"/>
  <c r="E26" i="1"/>
  <c r="E22" i="1"/>
  <c r="E29" i="1"/>
  <c r="E25" i="1"/>
  <c r="E21" i="1"/>
  <c r="E20" i="1"/>
  <c r="N8" i="1"/>
  <c r="N6" i="1"/>
  <c r="N16" i="1"/>
  <c r="N15" i="1"/>
  <c r="N11" i="1"/>
  <c r="N7" i="1"/>
  <c r="N14" i="1"/>
  <c r="N10" i="1"/>
  <c r="N12" i="1"/>
  <c r="N13" i="1"/>
  <c r="N9" i="1"/>
  <c r="N5" i="1"/>
  <c r="N4" i="1"/>
  <c r="K7" i="1"/>
  <c r="K8" i="1"/>
  <c r="K6" i="1"/>
  <c r="K13" i="1"/>
  <c r="K16" i="1"/>
  <c r="K12" i="1"/>
  <c r="K15" i="1"/>
  <c r="K11" i="1"/>
  <c r="K14" i="1"/>
  <c r="K10" i="1"/>
  <c r="K9" i="1"/>
  <c r="K5" i="1"/>
  <c r="K4" i="1"/>
  <c r="G12" i="1"/>
  <c r="G15" i="1"/>
  <c r="G7" i="1"/>
  <c r="G14" i="1"/>
  <c r="G6" i="1"/>
  <c r="G16" i="1"/>
  <c r="G8" i="1"/>
  <c r="G11" i="1"/>
  <c r="G10" i="1"/>
  <c r="G13" i="1"/>
  <c r="G9" i="1"/>
  <c r="G5" i="1"/>
  <c r="G4" i="1"/>
  <c r="C6" i="1"/>
  <c r="C16" i="1"/>
  <c r="C12" i="1"/>
  <c r="C8" i="1"/>
  <c r="C15" i="1"/>
  <c r="C11" i="1"/>
  <c r="C7" i="1"/>
  <c r="C14" i="1"/>
  <c r="C10" i="1"/>
  <c r="C13" i="1"/>
  <c r="C9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<sst xmlns="http://schemas.openxmlformats.org/spreadsheetml/2006/main" count="40" uniqueCount="35">
  <si>
    <t>Teste Exercício 1</t>
  </si>
  <si>
    <t>Teste Exercício 2</t>
  </si>
  <si>
    <t>Teste Exercício 3</t>
  </si>
  <si>
    <t>Teste Exercício 4</t>
  </si>
  <si>
    <t>Teste Exercício 5</t>
  </si>
  <si>
    <t>x</t>
  </si>
  <si>
    <t>y</t>
  </si>
  <si>
    <t>z</t>
  </si>
  <si>
    <t>MÉDIA</t>
  </si>
  <si>
    <t>RADIANOS</t>
  </si>
  <si>
    <t>GrauRad</t>
  </si>
  <si>
    <t>RadGrau</t>
  </si>
  <si>
    <t>GRAUS</t>
  </si>
  <si>
    <t>CelFah</t>
  </si>
  <si>
    <t>°</t>
  </si>
  <si>
    <t>rad</t>
  </si>
  <si>
    <t>°C</t>
  </si>
  <si>
    <t>°F</t>
  </si>
  <si>
    <t>FahCel</t>
  </si>
  <si>
    <t>Media</t>
  </si>
  <si>
    <t>Teste Exercício 6</t>
  </si>
  <si>
    <t>Teste Exercício 7</t>
  </si>
  <si>
    <t>Teste Exercício 8</t>
  </si>
  <si>
    <t>xA</t>
  </si>
  <si>
    <t>yA</t>
  </si>
  <si>
    <t>xB</t>
  </si>
  <si>
    <t>yB</t>
  </si>
  <si>
    <t>Dist</t>
  </si>
  <si>
    <t>Teste Exercício 9</t>
  </si>
  <si>
    <t>r</t>
  </si>
  <si>
    <t>Volume</t>
  </si>
  <si>
    <t>Area</t>
  </si>
  <si>
    <t>xC</t>
  </si>
  <si>
    <t>yC</t>
  </si>
  <si>
    <t>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</si>
</sst>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121176</xdr:colOff>
      <xdr:row>18</xdr:row>
      <xdr:rowOff>14868</xdr:rowOff>
    </xdr:from>
    <xdr:to>
      <xdr:col>8</xdr:col>
      <xdr:colOff>29736</xdr:colOff>
      <xdr:row>22</xdr:row>
      <xdr:rowOff>111278</xdr:rowOff>
    </xdr:to>
    <xdr:sp macro="" textlink="">
      <xdr:nvSpPr>
        <xdr:cNvPr id="2" name="Texto Explicativo: Linha Dobrada 1">
          <a:extLst>
            <a:ext uri="{FF2B5EF4-FFF2-40B4-BE49-F238E27FC236}">
              <a16:creationId xmlns:a16="http://schemas.microsoft.com/office/drawing/2014/main" id="{D0FEF642-7A9E-4D2E-B046-727AE0B4B218}"/>
            </a:ext>
          </a:extLst>
        </xdr:cNvPr>
        <xdr:cNvSpPr/>
      </xdr:nvSpPr>
      <xdr:spPr>
        <a:xfrm>
          <a:off x="3830815" y="3293327"/>
          <a:ext cx="1242989" cy="824956"/>
        </a:xfrm>
        <a:prstGeom prst="borderCallout2">
          <a:avLst>
            <a:gd name="adj1" fmla="val 47877"/>
            <a:gd name="adj2" fmla="val -1987"/>
            <a:gd name="adj3" fmla="val 47987"/>
            <a:gd name="adj4" fmla="val -16133"/>
            <a:gd name="adj5" fmla="val 34907"/>
            <a:gd name="adj6" fmla="val -65003"/>
          </a:avLst>
        </a:prstGeom>
        <a:solidFill>
          <a:schemeClr val="accent6">
            <a:lumMod val="40000"/>
            <a:lumOff val="60000"/>
          </a:schemeClr>
        </a:solidFill>
        <a:ln w="3175">
          <a:solidFill>
            <a:sysClr val="windowText" lastClr="000000"/>
          </a:solidFill>
          <a:tailEnd type="oval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CUIDADO</a:t>
          </a:r>
          <a:r>
            <a:rPr lang="pt-BR" sz="1100">
              <a:solidFill>
                <a:sysClr val="windowText" lastClr="000000"/>
              </a:solidFill>
            </a:rPr>
            <a:t>:</a:t>
          </a:r>
          <a:r>
            <a:rPr lang="pt-BR" sz="1100" baseline="0">
              <a:solidFill>
                <a:sysClr val="windowText" lastClr="000000"/>
              </a:solidFill>
            </a:rPr>
            <a:t> a</a:t>
          </a:r>
          <a:r>
            <a:rPr lang="pt-BR" sz="1100">
              <a:solidFill>
                <a:sysClr val="windowText" lastClr="000000"/>
              </a:solidFill>
            </a:rPr>
            <a:t> função Media</a:t>
          </a:r>
          <a:r>
            <a:rPr lang="pt-BR" sz="1100" baseline="0">
              <a:solidFill>
                <a:sysClr val="windowText" lastClr="000000"/>
              </a:solidFill>
            </a:rPr>
            <a:t> não funciona para um "Range".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N48"/>
  <sheetViews>
    <sheetView tabSelected="1" topLeftCell="A28" zoomScale="160" zoomScaleNormal="160" workbookViewId="0">
      <selection activeCell="O40" sqref="O40"/>
    </sheetView>
  </sheetViews>
  <sheetFormatPr defaultRowHeight="15" x14ac:dyDescent="0.25"/>
  <cols>
    <col min="3" max="3" width="8.5703125" customWidth="1"/>
    <col min="4" max="4" width="9.7109375" customWidth="1"/>
    <col min="5" max="5" width="9.140625" customWidth="1"/>
    <col min="7" max="7" width="9.28515625" customWidth="1"/>
    <col min="8" max="8" width="10.28515625" customWidth="1"/>
    <col min="10" max="10" width="9.5703125" bestFit="1" customWidth="1"/>
    <col min="11" max="11" width="9.5703125" customWidth="1"/>
    <col min="12" max="12" width="8.85546875" customWidth="1"/>
    <col min="14" max="14" width="10.7109375" customWidth="1"/>
  </cols>
  <sheetData>
    <row r="2" spans="2:14" x14ac:dyDescent="0.25">
      <c r="B2" s="8" t="s">
        <v>0</v>
      </c>
      <c r="C2" s="8"/>
      <c r="D2" s="8"/>
      <c r="F2" s="8" t="s">
        <v>1</v>
      </c>
      <c r="G2" s="8"/>
      <c r="H2" s="8"/>
      <c r="J2" s="8" t="s">
        <v>2</v>
      </c>
      <c r="K2" s="8"/>
      <c r="M2" s="8" t="s">
        <v>3</v>
      </c>
      <c r="N2" s="8"/>
    </row>
    <row r="3" spans="2:14" x14ac:dyDescent="0.25">
      <c r="B3" s="1" t="s">
        <v>14</v>
      </c>
      <c r="C3" s="1" t="s">
        <v>10</v>
      </c>
      <c r="D3" s="1" t="s">
        <v>9</v>
      </c>
      <c r="F3" s="1" t="s">
        <v>15</v>
      </c>
      <c r="G3" s="1" t="s">
        <v>11</v>
      </c>
      <c r="H3" s="1" t="s">
        <v>12</v>
      </c>
      <c r="J3" s="1" t="s">
        <v>16</v>
      </c>
      <c r="K3" s="1" t="s">
        <v>13</v>
      </c>
      <c r="M3" s="1" t="s">
        <v>17</v>
      </c>
      <c r="N3" s="1" t="s">
        <v>18</v>
      </c>
    </row>
    <row r="4" spans="2:14" x14ac:dyDescent="0.25">
      <c r="B4" s="2">
        <v>0</v>
      </c>
      <c r="C4" s="4" cm="1">
        <f t="array" ref="C4">GrauRad(B4)</f>
        <v>0</v>
      </c>
      <c r="D4" s="4">
        <f>RADIANS(B4)</f>
        <v>0</v>
      </c>
      <c r="F4" s="3">
        <v>0</v>
      </c>
      <c r="G4" s="4" cm="1">
        <f t="array" ref="G4">RadGrau(F4)</f>
        <v>0</v>
      </c>
      <c r="H4" s="4">
        <f>DEGREES(F4)</f>
        <v>0</v>
      </c>
      <c r="J4" s="3">
        <v>-10</v>
      </c>
      <c r="K4" s="3" cm="1">
        <f t="array" ref="K4">CelFah(J4)</f>
        <v>14</v>
      </c>
      <c r="M4" s="3">
        <v>14</v>
      </c>
      <c r="N4" s="3" cm="1">
        <f t="array" ref="N4">FahCel(M4)</f>
        <v>-10</v>
      </c>
    </row>
    <row r="5" spans="2:14" x14ac:dyDescent="0.25">
      <c r="B5" s="2">
        <v>15</v>
      </c>
      <c r="C5" s="4" cm="1">
        <f t="array" ref="C5">GrauRad(B5)</f>
        <v>0.26179938779914941</v>
      </c>
      <c r="D5" s="4">
        <f t="shared" ref="D5:D16" si="0">RADIANS(B5)</f>
        <v>0.26179938779914941</v>
      </c>
      <c r="F5" s="3">
        <v>0.2</v>
      </c>
      <c r="G5" s="4" cm="1">
        <f t="array" ref="G5">RadGrau(F5)</f>
        <v>11.459155902616466</v>
      </c>
      <c r="H5" s="4">
        <f t="shared" ref="H5:H16" si="1">DEGREES(F5)</f>
        <v>11.459155902616466</v>
      </c>
      <c r="J5" s="3">
        <v>-5</v>
      </c>
      <c r="K5" s="3" cm="1">
        <f t="array" ref="K5">CelFah(J5)</f>
        <v>23</v>
      </c>
      <c r="M5" s="3">
        <v>23</v>
      </c>
      <c r="N5" s="3" cm="1">
        <f t="array" ref="N5">FahCel(M5)</f>
        <v>-5</v>
      </c>
    </row>
    <row r="6" spans="2:14" x14ac:dyDescent="0.25">
      <c r="B6" s="2">
        <v>30</v>
      </c>
      <c r="C6" s="4" cm="1">
        <f t="array" ref="C6">GrauRad(B6)</f>
        <v>0.52359877559829882</v>
      </c>
      <c r="D6" s="4">
        <f t="shared" si="0"/>
        <v>0.52359877559829882</v>
      </c>
      <c r="F6" s="3">
        <v>0.4</v>
      </c>
      <c r="G6" s="4" cm="1">
        <f t="array" ref="G6">RadGrau(F6)</f>
        <v>22.918311805232932</v>
      </c>
      <c r="H6" s="4">
        <f t="shared" si="1"/>
        <v>22.918311805232932</v>
      </c>
      <c r="J6" s="3">
        <v>0</v>
      </c>
      <c r="K6" s="3" cm="1">
        <f t="array" ref="K6">CelFah(J6)</f>
        <v>32</v>
      </c>
      <c r="M6" s="3">
        <v>32</v>
      </c>
      <c r="N6" s="3" cm="1">
        <f t="array" ref="N6">FahCel(M6)</f>
        <v>0</v>
      </c>
    </row>
    <row r="7" spans="2:14" x14ac:dyDescent="0.25">
      <c r="B7" s="2">
        <v>45</v>
      </c>
      <c r="C7" s="4" cm="1">
        <f t="array" ref="C7">GrauRad(B7)</f>
        <v>0.78539816339744828</v>
      </c>
      <c r="D7" s="4">
        <f t="shared" si="0"/>
        <v>0.78539816339744828</v>
      </c>
      <c r="F7" s="3">
        <v>0.6</v>
      </c>
      <c r="G7" s="4" cm="1">
        <f t="array" ref="G7">RadGrau(F7)</f>
        <v>34.377467707849391</v>
      </c>
      <c r="H7" s="4">
        <f t="shared" si="1"/>
        <v>34.377467707849391</v>
      </c>
      <c r="J7" s="3">
        <v>5</v>
      </c>
      <c r="K7" s="3" cm="1">
        <f t="array" ref="K7">CelFah(J7)</f>
        <v>41</v>
      </c>
      <c r="M7" s="3">
        <v>41</v>
      </c>
      <c r="N7" s="3" cm="1">
        <f t="array" ref="N7">FahCel(M7)</f>
        <v>5</v>
      </c>
    </row>
    <row r="8" spans="2:14" x14ac:dyDescent="0.25">
      <c r="B8" s="2">
        <v>60</v>
      </c>
      <c r="C8" s="4" cm="1">
        <f t="array" ref="C8">GrauRad(B8)</f>
        <v>1.0471975511965976</v>
      </c>
      <c r="D8" s="4">
        <f t="shared" si="0"/>
        <v>1.0471975511965976</v>
      </c>
      <c r="F8" s="3">
        <v>0.8</v>
      </c>
      <c r="G8" s="4" cm="1">
        <f t="array" ref="G8">RadGrau(F8)</f>
        <v>45.836623610465864</v>
      </c>
      <c r="H8" s="4">
        <f t="shared" si="1"/>
        <v>45.836623610465864</v>
      </c>
      <c r="J8" s="3">
        <v>10</v>
      </c>
      <c r="K8" s="3" cm="1">
        <f t="array" ref="K8">CelFah(J8)</f>
        <v>50</v>
      </c>
      <c r="M8" s="3">
        <v>50</v>
      </c>
      <c r="N8" s="3" cm="1">
        <f t="array" ref="N8">FahCel(M8)</f>
        <v>10</v>
      </c>
    </row>
    <row r="9" spans="2:14" x14ac:dyDescent="0.25">
      <c r="B9" s="2">
        <v>75</v>
      </c>
      <c r="C9" s="4" cm="1">
        <f t="array" ref="C9">GrauRad(B9)</f>
        <v>1.3089969389957472</v>
      </c>
      <c r="D9" s="4">
        <f t="shared" si="0"/>
        <v>1.3089969389957472</v>
      </c>
      <c r="F9" s="3">
        <v>1</v>
      </c>
      <c r="G9" s="4" cm="1">
        <f t="array" ref="G9">RadGrau(F9)</f>
        <v>57.295779513082323</v>
      </c>
      <c r="H9" s="4">
        <f t="shared" si="1"/>
        <v>57.295779513082323</v>
      </c>
      <c r="J9" s="3">
        <v>15</v>
      </c>
      <c r="K9" s="3" cm="1">
        <f t="array" ref="K9">CelFah(J9)</f>
        <v>59</v>
      </c>
      <c r="M9" s="3">
        <v>59</v>
      </c>
      <c r="N9" s="3" cm="1">
        <f t="array" ref="N9">FahCel(M9)</f>
        <v>15</v>
      </c>
    </row>
    <row r="10" spans="2:14" x14ac:dyDescent="0.25">
      <c r="B10" s="2">
        <v>90</v>
      </c>
      <c r="C10" s="4" cm="1">
        <f t="array" ref="C10">GrauRad(B10)</f>
        <v>1.5707963267948966</v>
      </c>
      <c r="D10" s="4">
        <f t="shared" si="0"/>
        <v>1.5707963267948966</v>
      </c>
      <c r="F10" s="3">
        <v>1.2</v>
      </c>
      <c r="G10" s="4" cm="1">
        <f t="array" ref="G10">RadGrau(F10)</f>
        <v>68.754935415698782</v>
      </c>
      <c r="H10" s="4">
        <f t="shared" si="1"/>
        <v>68.754935415698782</v>
      </c>
      <c r="J10" s="3">
        <v>20</v>
      </c>
      <c r="K10" s="3" cm="1">
        <f t="array" ref="K10">CelFah(J10)</f>
        <v>68</v>
      </c>
      <c r="M10" s="3">
        <v>68</v>
      </c>
      <c r="N10" s="3" cm="1">
        <f t="array" ref="N10">FahCel(M10)</f>
        <v>20</v>
      </c>
    </row>
    <row r="11" spans="2:14" x14ac:dyDescent="0.25">
      <c r="B11" s="2">
        <v>105</v>
      </c>
      <c r="C11" s="4" cm="1">
        <f t="array" ref="C11">GrauRad(B11)</f>
        <v>1.8325957145940461</v>
      </c>
      <c r="D11" s="4">
        <f t="shared" si="0"/>
        <v>1.8325957145940461</v>
      </c>
      <c r="F11" s="3">
        <v>1.4</v>
      </c>
      <c r="G11" s="4" cm="1">
        <f t="array" ref="G11">RadGrau(F11)</f>
        <v>80.214091318315241</v>
      </c>
      <c r="H11" s="4">
        <f t="shared" si="1"/>
        <v>80.214091318315241</v>
      </c>
      <c r="J11" s="3">
        <v>25</v>
      </c>
      <c r="K11" s="3" cm="1">
        <f t="array" ref="K11">CelFah(J11)</f>
        <v>77</v>
      </c>
      <c r="M11" s="3">
        <v>77</v>
      </c>
      <c r="N11" s="3" cm="1">
        <f t="array" ref="N11">FahCel(M11)</f>
        <v>25</v>
      </c>
    </row>
    <row r="12" spans="2:14" x14ac:dyDescent="0.25">
      <c r="B12" s="2">
        <v>120</v>
      </c>
      <c r="C12" s="4" cm="1">
        <f t="array" ref="C12">GrauRad(B12)</f>
        <v>2.0943951023931953</v>
      </c>
      <c r="D12" s="4">
        <f t="shared" si="0"/>
        <v>2.0943951023931953</v>
      </c>
      <c r="F12" s="3">
        <v>1.6</v>
      </c>
      <c r="G12" s="4" cm="1">
        <f t="array" ref="G12">RadGrau(F12)</f>
        <v>91.673247220931728</v>
      </c>
      <c r="H12" s="4">
        <f t="shared" si="1"/>
        <v>91.673247220931728</v>
      </c>
      <c r="J12" s="3">
        <v>30</v>
      </c>
      <c r="K12" s="3" cm="1">
        <f t="array" ref="K12">CelFah(J12)</f>
        <v>86</v>
      </c>
      <c r="M12" s="3">
        <v>86</v>
      </c>
      <c r="N12" s="3" cm="1">
        <f t="array" ref="N12">FahCel(M12)</f>
        <v>30</v>
      </c>
    </row>
    <row r="13" spans="2:14" x14ac:dyDescent="0.25">
      <c r="B13" s="2">
        <v>135</v>
      </c>
      <c r="C13" s="4" cm="1">
        <f t="array" ref="C13">GrauRad(B13)</f>
        <v>2.3561944901923448</v>
      </c>
      <c r="D13" s="4">
        <f t="shared" si="0"/>
        <v>2.3561944901923448</v>
      </c>
      <c r="F13" s="3">
        <v>1.8</v>
      </c>
      <c r="G13" s="4" cm="1">
        <f t="array" ref="G13">RadGrau(F13)</f>
        <v>103.13240312354819</v>
      </c>
      <c r="H13" s="4">
        <f t="shared" si="1"/>
        <v>103.13240312354819</v>
      </c>
      <c r="J13" s="3">
        <v>35</v>
      </c>
      <c r="K13" s="3" cm="1">
        <f t="array" ref="K13">CelFah(J13)</f>
        <v>95</v>
      </c>
      <c r="M13" s="3">
        <v>95</v>
      </c>
      <c r="N13" s="3" cm="1">
        <f t="array" ref="N13">FahCel(M13)</f>
        <v>35</v>
      </c>
    </row>
    <row r="14" spans="2:14" x14ac:dyDescent="0.25">
      <c r="B14" s="2">
        <v>150</v>
      </c>
      <c r="C14" s="4" cm="1">
        <f t="array" ref="C14">GrauRad(B14)</f>
        <v>2.6179938779914944</v>
      </c>
      <c r="D14" s="4">
        <f t="shared" si="0"/>
        <v>2.6179938779914944</v>
      </c>
      <c r="F14" s="3">
        <v>2</v>
      </c>
      <c r="G14" s="4" cm="1">
        <f t="array" ref="G14">RadGrau(F14)</f>
        <v>114.59155902616465</v>
      </c>
      <c r="H14" s="4">
        <f t="shared" si="1"/>
        <v>114.59155902616465</v>
      </c>
      <c r="J14" s="3">
        <v>40</v>
      </c>
      <c r="K14" s="3" cm="1">
        <f t="array" ref="K14">CelFah(J14)</f>
        <v>104</v>
      </c>
      <c r="M14" s="3">
        <v>104</v>
      </c>
      <c r="N14" s="3" cm="1">
        <f t="array" ref="N14">FahCel(M14)</f>
        <v>40</v>
      </c>
    </row>
    <row r="15" spans="2:14" x14ac:dyDescent="0.25">
      <c r="B15" s="2">
        <v>165</v>
      </c>
      <c r="C15" s="4" cm="1">
        <f t="array" ref="C15">GrauRad(B15)</f>
        <v>2.8797932657906435</v>
      </c>
      <c r="D15" s="4">
        <f t="shared" si="0"/>
        <v>2.8797932657906435</v>
      </c>
      <c r="F15" s="3">
        <v>2.2000000000000002</v>
      </c>
      <c r="G15" s="4" cm="1">
        <f t="array" ref="G15">RadGrau(F15)</f>
        <v>126.05071492878112</v>
      </c>
      <c r="H15" s="4">
        <f t="shared" si="1"/>
        <v>126.05071492878112</v>
      </c>
      <c r="J15" s="3">
        <v>45</v>
      </c>
      <c r="K15" s="3" cm="1">
        <f t="array" ref="K15">CelFah(J15)</f>
        <v>113</v>
      </c>
      <c r="M15" s="3">
        <v>113</v>
      </c>
      <c r="N15" s="3" cm="1">
        <f t="array" ref="N15">FahCel(M15)</f>
        <v>45</v>
      </c>
    </row>
    <row r="16" spans="2:14" x14ac:dyDescent="0.25">
      <c r="B16" s="2">
        <v>180</v>
      </c>
      <c r="C16" s="4" cm="1">
        <f t="array" ref="C16">GrauRad(B16)</f>
        <v>3.1415926535897931</v>
      </c>
      <c r="D16" s="4">
        <f t="shared" si="0"/>
        <v>3.1415926535897931</v>
      </c>
      <c r="F16" s="3">
        <v>2.4</v>
      </c>
      <c r="G16" s="4" cm="1">
        <f t="array" ref="G16">RadGrau(F16)</f>
        <v>137.50987083139756</v>
      </c>
      <c r="H16" s="4">
        <f t="shared" si="1"/>
        <v>137.50987083139756</v>
      </c>
      <c r="J16" s="3">
        <v>50</v>
      </c>
      <c r="K16" s="3" cm="1">
        <f t="array" ref="K16">CelFah(J16)</f>
        <v>122</v>
      </c>
      <c r="M16" s="3">
        <v>122</v>
      </c>
      <c r="N16" s="3" cm="1">
        <f t="array" ref="N16">FahCel(M16)</f>
        <v>50</v>
      </c>
    </row>
    <row r="18" spans="2:14" x14ac:dyDescent="0.25">
      <c r="B18" s="8" t="s">
        <v>4</v>
      </c>
      <c r="C18" s="8"/>
      <c r="D18" s="8"/>
      <c r="E18" s="8"/>
      <c r="F18" s="8"/>
      <c r="J18" s="8" t="s">
        <v>20</v>
      </c>
      <c r="K18" s="8"/>
      <c r="L18" s="8"/>
      <c r="M18" s="8"/>
      <c r="N18" s="8"/>
    </row>
    <row r="19" spans="2:14" x14ac:dyDescent="0.25">
      <c r="B19" s="1" t="s">
        <v>5</v>
      </c>
      <c r="C19" s="1" t="s">
        <v>6</v>
      </c>
      <c r="D19" s="1" t="s">
        <v>7</v>
      </c>
      <c r="E19" s="1" t="s">
        <v>19</v>
      </c>
      <c r="F19" s="1" t="s">
        <v>8</v>
      </c>
      <c r="J19" s="5" t="s">
        <v>23</v>
      </c>
      <c r="K19" s="5" t="s">
        <v>24</v>
      </c>
      <c r="L19" s="5" t="s">
        <v>25</v>
      </c>
      <c r="M19" s="5" t="s">
        <v>26</v>
      </c>
      <c r="N19" s="5" t="s">
        <v>27</v>
      </c>
    </row>
    <row r="20" spans="2:14" x14ac:dyDescent="0.25">
      <c r="B20" s="3">
        <v>0</v>
      </c>
      <c r="C20" s="3">
        <v>0</v>
      </c>
      <c r="D20" s="3">
        <v>0</v>
      </c>
      <c r="E20" s="7" cm="1">
        <f t="array" ref="E20">mediazinha(B20,C20,D20)</f>
        <v>0</v>
      </c>
      <c r="F20" s="6">
        <f>AVERAGE(B20:D20)</f>
        <v>0</v>
      </c>
      <c r="J20" s="3">
        <v>0</v>
      </c>
      <c r="K20" s="3">
        <v>0</v>
      </c>
      <c r="L20" s="3">
        <v>0</v>
      </c>
      <c r="M20" s="6">
        <v>0</v>
      </c>
      <c r="N20" s="6" cm="1">
        <f t="array" ref="N20">Dist(J20,K20,L20,M20)</f>
        <v>0</v>
      </c>
    </row>
    <row r="21" spans="2:14" x14ac:dyDescent="0.25">
      <c r="B21" s="3">
        <v>1</v>
      </c>
      <c r="C21" s="3">
        <v>2</v>
      </c>
      <c r="D21" s="3">
        <v>10</v>
      </c>
      <c r="E21" s="7" cm="1">
        <f t="array" ref="E21">mediazinha(B21,C21,D21)</f>
        <v>4.333333333333333</v>
      </c>
      <c r="F21" s="6">
        <f t="shared" ref="F21:F32" si="2">AVERAGE(B21:D21)</f>
        <v>4.333333333333333</v>
      </c>
      <c r="J21" s="3">
        <v>1</v>
      </c>
      <c r="K21" s="3">
        <v>2</v>
      </c>
      <c r="L21" s="3">
        <v>5</v>
      </c>
      <c r="M21" s="6">
        <v>10</v>
      </c>
      <c r="N21" s="6" cm="1">
        <f t="array" ref="N21">Dist(J21,K21,L21,M21)</f>
        <v>8.9442719099991592</v>
      </c>
    </row>
    <row r="22" spans="2:14" x14ac:dyDescent="0.25">
      <c r="B22" s="3">
        <v>2</v>
      </c>
      <c r="C22" s="3">
        <v>4</v>
      </c>
      <c r="D22" s="3">
        <v>20</v>
      </c>
      <c r="E22" s="7" cm="1">
        <f t="array" ref="E22">mediazinha(B22,C22,D22)</f>
        <v>8.6666666666666661</v>
      </c>
      <c r="F22" s="6">
        <f t="shared" si="2"/>
        <v>8.6666666666666661</v>
      </c>
      <c r="J22" s="3">
        <v>2</v>
      </c>
      <c r="K22" s="3">
        <v>4</v>
      </c>
      <c r="L22" s="3">
        <v>10</v>
      </c>
      <c r="M22" s="6">
        <v>20</v>
      </c>
      <c r="N22" s="6" cm="1">
        <f t="array" ref="N22">Dist(J22,K22,L22,M22)</f>
        <v>17.888543819998318</v>
      </c>
    </row>
    <row r="23" spans="2:14" x14ac:dyDescent="0.25">
      <c r="B23" s="3">
        <v>3</v>
      </c>
      <c r="C23" s="3">
        <v>6</v>
      </c>
      <c r="D23" s="3">
        <v>30</v>
      </c>
      <c r="E23" s="7" cm="1">
        <f t="array" ref="E23">mediazinha(B23,C23,D23)</f>
        <v>13</v>
      </c>
      <c r="F23" s="6">
        <f t="shared" si="2"/>
        <v>13</v>
      </c>
      <c r="J23" s="3">
        <v>3</v>
      </c>
      <c r="K23" s="3">
        <v>6</v>
      </c>
      <c r="L23" s="3">
        <v>15</v>
      </c>
      <c r="M23" s="6">
        <v>30</v>
      </c>
      <c r="N23" s="6" cm="1">
        <f t="array" ref="N23">Dist(J23,K23,L23,M23)</f>
        <v>26.832815729997478</v>
      </c>
    </row>
    <row r="24" spans="2:14" x14ac:dyDescent="0.25">
      <c r="B24" s="3">
        <v>4</v>
      </c>
      <c r="C24" s="3">
        <v>8</v>
      </c>
      <c r="D24" s="3">
        <v>40</v>
      </c>
      <c r="E24" s="7" cm="1">
        <f t="array" ref="E24">mediazinha(B24,C24,D24)</f>
        <v>17.333333333333332</v>
      </c>
      <c r="F24" s="6">
        <f t="shared" si="2"/>
        <v>17.333333333333332</v>
      </c>
      <c r="J24" s="3">
        <v>4</v>
      </c>
      <c r="K24" s="3">
        <v>8</v>
      </c>
      <c r="L24" s="3">
        <v>20</v>
      </c>
      <c r="M24" s="6">
        <v>40</v>
      </c>
      <c r="N24" s="6" cm="1">
        <f t="array" ref="N24">Dist(J24,K24,L24,M24)</f>
        <v>35.777087639996637</v>
      </c>
    </row>
    <row r="25" spans="2:14" x14ac:dyDescent="0.25">
      <c r="B25" s="3">
        <v>5</v>
      </c>
      <c r="C25" s="3">
        <v>10</v>
      </c>
      <c r="D25" s="3">
        <v>50</v>
      </c>
      <c r="E25" s="7" cm="1">
        <f t="array" ref="E25">mediazinha(B25,C25,D25)</f>
        <v>21.666666666666668</v>
      </c>
      <c r="F25" s="6">
        <f t="shared" si="2"/>
        <v>21.666666666666668</v>
      </c>
      <c r="J25" s="3">
        <v>5</v>
      </c>
      <c r="K25" s="3">
        <v>10</v>
      </c>
      <c r="L25" s="3">
        <v>25</v>
      </c>
      <c r="M25" s="6">
        <v>50</v>
      </c>
      <c r="N25" s="6" cm="1">
        <f t="array" ref="N25">Dist(J25,K25,L25,M25)</f>
        <v>44.721359549995796</v>
      </c>
    </row>
    <row r="26" spans="2:14" x14ac:dyDescent="0.25">
      <c r="B26" s="3">
        <v>6</v>
      </c>
      <c r="C26" s="3">
        <v>12</v>
      </c>
      <c r="D26" s="3">
        <v>60</v>
      </c>
      <c r="E26" s="7" cm="1">
        <f t="array" ref="E26">mediazinha(B26,C26,D26)</f>
        <v>26</v>
      </c>
      <c r="F26" s="6">
        <f t="shared" si="2"/>
        <v>26</v>
      </c>
      <c r="J26" s="3">
        <v>6</v>
      </c>
      <c r="K26" s="3">
        <v>12</v>
      </c>
      <c r="L26" s="3">
        <v>30</v>
      </c>
      <c r="M26" s="6">
        <v>60</v>
      </c>
      <c r="N26" s="6" cm="1">
        <f t="array" ref="N26">Dist(J26,K26,L26,M26)</f>
        <v>53.665631459994955</v>
      </c>
    </row>
    <row r="27" spans="2:14" x14ac:dyDescent="0.25">
      <c r="B27" s="3">
        <v>7</v>
      </c>
      <c r="C27" s="3">
        <v>14</v>
      </c>
      <c r="D27" s="3">
        <v>70</v>
      </c>
      <c r="E27" s="7" cm="1">
        <f t="array" ref="E27">mediazinha(B27,C27,D27)</f>
        <v>30.333333333333332</v>
      </c>
      <c r="F27" s="6">
        <f t="shared" si="2"/>
        <v>30.333333333333332</v>
      </c>
      <c r="J27" s="3">
        <v>7</v>
      </c>
      <c r="K27" s="3">
        <v>14</v>
      </c>
      <c r="L27" s="3">
        <v>35</v>
      </c>
      <c r="M27" s="6">
        <v>70</v>
      </c>
      <c r="N27" s="6" cm="1">
        <f t="array" ref="N27">Dist(J27,K27,L27,M27)</f>
        <v>62.609903369994115</v>
      </c>
    </row>
    <row r="28" spans="2:14" x14ac:dyDescent="0.25">
      <c r="B28" s="3">
        <v>8</v>
      </c>
      <c r="C28" s="3">
        <v>16</v>
      </c>
      <c r="D28" s="3">
        <v>80</v>
      </c>
      <c r="E28" s="7" cm="1">
        <f t="array" ref="E28">mediazinha(B28,C28,D28)</f>
        <v>34.666666666666664</v>
      </c>
      <c r="F28" s="6">
        <f t="shared" si="2"/>
        <v>34.666666666666664</v>
      </c>
      <c r="J28" s="3">
        <v>8</v>
      </c>
      <c r="K28" s="3">
        <v>16</v>
      </c>
      <c r="L28" s="3">
        <v>40</v>
      </c>
      <c r="M28" s="6">
        <v>80</v>
      </c>
      <c r="N28" s="6" cm="1">
        <f t="array" ref="N28">Dist(J28,K28,L28,M28)</f>
        <v>71.554175279993274</v>
      </c>
    </row>
    <row r="29" spans="2:14" x14ac:dyDescent="0.25">
      <c r="B29" s="3">
        <v>9</v>
      </c>
      <c r="C29" s="3">
        <v>18</v>
      </c>
      <c r="D29" s="3">
        <v>90</v>
      </c>
      <c r="E29" s="7" cm="1">
        <f t="array" ref="E29">mediazinha(B29,C29,D29)</f>
        <v>39</v>
      </c>
      <c r="F29" s="6">
        <f t="shared" si="2"/>
        <v>39</v>
      </c>
      <c r="J29" s="3">
        <v>9</v>
      </c>
      <c r="K29" s="3">
        <v>18</v>
      </c>
      <c r="L29" s="3">
        <v>45</v>
      </c>
      <c r="M29" s="6">
        <v>90</v>
      </c>
      <c r="N29" s="6" cm="1">
        <f t="array" ref="N29">Dist(J29,K29,L29,M29)</f>
        <v>80.498447189992433</v>
      </c>
    </row>
    <row r="30" spans="2:14" x14ac:dyDescent="0.25">
      <c r="B30" s="3">
        <v>10</v>
      </c>
      <c r="C30" s="3">
        <v>20</v>
      </c>
      <c r="D30" s="3">
        <v>100</v>
      </c>
      <c r="E30" s="7" cm="1">
        <f t="array" ref="E30">mediazinha(B30,C30,D30)</f>
        <v>43.333333333333336</v>
      </c>
      <c r="F30" s="6">
        <f t="shared" si="2"/>
        <v>43.333333333333336</v>
      </c>
      <c r="J30" s="3">
        <v>10</v>
      </c>
      <c r="K30" s="3">
        <v>20</v>
      </c>
      <c r="L30" s="3">
        <v>50</v>
      </c>
      <c r="M30" s="6">
        <v>100</v>
      </c>
      <c r="N30" s="6" cm="1">
        <f t="array" ref="N30">Dist(J30,K30,L30,M30)</f>
        <v>89.442719099991592</v>
      </c>
    </row>
    <row r="31" spans="2:14" x14ac:dyDescent="0.25">
      <c r="B31" s="3">
        <v>11</v>
      </c>
      <c r="C31" s="3">
        <v>22</v>
      </c>
      <c r="D31" s="3">
        <v>110</v>
      </c>
      <c r="E31" s="7" cm="1">
        <f t="array" ref="E31">mediazinha(B31,C31,D31)</f>
        <v>47.666666666666664</v>
      </c>
      <c r="F31" s="6">
        <f t="shared" si="2"/>
        <v>47.666666666666664</v>
      </c>
      <c r="J31" s="3">
        <v>11</v>
      </c>
      <c r="K31" s="3">
        <v>22</v>
      </c>
      <c r="L31" s="3">
        <v>55</v>
      </c>
      <c r="M31" s="6">
        <v>110</v>
      </c>
      <c r="N31" s="6" cm="1">
        <f t="array" ref="N31">Dist(J31,K31,L31,M31)</f>
        <v>98.386991009990751</v>
      </c>
    </row>
    <row r="32" spans="2:14" x14ac:dyDescent="0.25">
      <c r="B32" s="3">
        <v>12</v>
      </c>
      <c r="C32" s="3">
        <v>24</v>
      </c>
      <c r="D32" s="3">
        <v>120</v>
      </c>
      <c r="E32" s="7" cm="1">
        <f t="array" ref="E32">mediazinha(B32,C32,D32)</f>
        <v>52</v>
      </c>
      <c r="F32" s="6">
        <f t="shared" si="2"/>
        <v>52</v>
      </c>
      <c r="J32" s="3">
        <v>12</v>
      </c>
      <c r="K32" s="3">
        <v>24</v>
      </c>
      <c r="L32" s="3">
        <v>60</v>
      </c>
      <c r="M32" s="6">
        <v>120</v>
      </c>
      <c r="N32" s="6" cm="1">
        <f t="array" ref="N32">Dist(J32,K32,L32,M32)</f>
        <v>107.33126291998991</v>
      </c>
    </row>
    <row r="34" spans="2:14" x14ac:dyDescent="0.25">
      <c r="B34" s="8" t="s">
        <v>21</v>
      </c>
      <c r="C34" s="8"/>
      <c r="E34" s="8" t="s">
        <v>22</v>
      </c>
      <c r="F34" s="8"/>
      <c r="H34" s="8" t="s">
        <v>28</v>
      </c>
      <c r="I34" s="8"/>
      <c r="J34" s="8"/>
      <c r="K34" s="8"/>
      <c r="L34" s="8"/>
      <c r="M34" s="8"/>
      <c r="N34" s="8"/>
    </row>
    <row r="35" spans="2:14" x14ac:dyDescent="0.25">
      <c r="B35" s="5" t="s">
        <v>29</v>
      </c>
      <c r="C35" s="5" t="s">
        <v>30</v>
      </c>
      <c r="E35" s="5" t="s">
        <v>29</v>
      </c>
      <c r="F35" s="5" t="s">
        <v>31</v>
      </c>
      <c r="H35" s="5" t="s">
        <v>23</v>
      </c>
      <c r="I35" s="5" t="s">
        <v>24</v>
      </c>
      <c r="J35" s="5" t="s">
        <v>25</v>
      </c>
      <c r="K35" s="5" t="s">
        <v>26</v>
      </c>
      <c r="L35" s="5" t="s">
        <v>32</v>
      </c>
      <c r="M35" s="5" t="s">
        <v>33</v>
      </c>
      <c r="N35" s="5" t="s">
        <v>34</v>
      </c>
    </row>
    <row r="36" spans="2:14" x14ac:dyDescent="0.25">
      <c r="B36" s="3">
        <v>0</v>
      </c>
      <c r="C36" s="3" cm="1">
        <f t="array" ref="C36">volume(B36)</f>
        <v>0</v>
      </c>
      <c r="E36" s="3">
        <v>0</v>
      </c>
      <c r="F36" s="3" cm="1">
        <f t="array" ref="F36">area(E36)</f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 cm="1">
        <f t="array" ref="N36">at(H36,I36,J36,K36,L36,M36)</f>
        <v>0</v>
      </c>
    </row>
    <row r="37" spans="2:14" x14ac:dyDescent="0.25">
      <c r="B37" s="3">
        <v>1</v>
      </c>
      <c r="C37" s="3" cm="1">
        <f t="array" ref="C37">volume(B37)</f>
        <v>4.1887902047863905</v>
      </c>
      <c r="E37" s="3">
        <v>1</v>
      </c>
      <c r="F37" s="3" cm="1">
        <f t="array" ref="F37">area(E37)</f>
        <v>12.566370614359172</v>
      </c>
      <c r="H37" s="6">
        <v>0</v>
      </c>
      <c r="I37" s="6">
        <v>0</v>
      </c>
      <c r="J37" s="6">
        <v>3</v>
      </c>
      <c r="K37" s="6">
        <v>0</v>
      </c>
      <c r="L37" s="6">
        <v>0</v>
      </c>
      <c r="M37" s="6">
        <v>4</v>
      </c>
      <c r="N37" s="6" cm="1">
        <f t="array" ref="N37">at(H37,I37,J37,K37,L37,M37)</f>
        <v>6</v>
      </c>
    </row>
    <row r="38" spans="2:14" x14ac:dyDescent="0.25">
      <c r="B38" s="3">
        <v>2</v>
      </c>
      <c r="C38" s="3" cm="1">
        <f t="array" ref="C38">volume(B38)</f>
        <v>33.510321638291124</v>
      </c>
      <c r="E38" s="3">
        <v>2</v>
      </c>
      <c r="F38" s="3" cm="1">
        <f t="array" ref="F38">area(E38)</f>
        <v>50.26548245743669</v>
      </c>
      <c r="H38" s="6">
        <v>1</v>
      </c>
      <c r="I38" s="6">
        <v>1</v>
      </c>
      <c r="J38" s="6">
        <v>1</v>
      </c>
      <c r="K38" s="6">
        <v>1</v>
      </c>
      <c r="L38" s="6">
        <v>1</v>
      </c>
      <c r="M38" s="6">
        <v>1</v>
      </c>
      <c r="N38" s="6" cm="1">
        <f t="array" ref="N38">at(H38,I38,J38,K38,L38,M38)</f>
        <v>0</v>
      </c>
    </row>
    <row r="39" spans="2:14" x14ac:dyDescent="0.25">
      <c r="B39" s="3">
        <v>3</v>
      </c>
      <c r="C39" s="3" cm="1">
        <f t="array" ref="C39">volume(B39)</f>
        <v>113.09733552923254</v>
      </c>
      <c r="E39" s="3">
        <v>3</v>
      </c>
      <c r="F39" s="3" cm="1">
        <f t="array" ref="F39">area(E39)</f>
        <v>113.09733552923255</v>
      </c>
      <c r="H39" s="6">
        <v>2</v>
      </c>
      <c r="I39" s="6">
        <v>2</v>
      </c>
      <c r="J39" s="6">
        <v>5</v>
      </c>
      <c r="K39" s="6">
        <v>2</v>
      </c>
      <c r="L39" s="6">
        <v>2</v>
      </c>
      <c r="M39" s="6">
        <v>6</v>
      </c>
      <c r="N39" s="6" cm="1">
        <f t="array" ref="N39">at(H39,I39,J39,K39,L39,M39)</f>
        <v>6</v>
      </c>
    </row>
    <row r="40" spans="2:14" x14ac:dyDescent="0.25">
      <c r="B40" s="3">
        <v>4</v>
      </c>
      <c r="C40" s="3" cm="1">
        <f t="array" ref="C40">volume(B40)</f>
        <v>268.08257310632899</v>
      </c>
      <c r="E40" s="3">
        <v>4</v>
      </c>
      <c r="F40" s="3" cm="1">
        <f t="array" ref="F40">area(E40)</f>
        <v>201.06192982974676</v>
      </c>
      <c r="H40" s="6">
        <v>3</v>
      </c>
      <c r="I40" s="6">
        <v>3</v>
      </c>
      <c r="J40" s="6">
        <v>9</v>
      </c>
      <c r="K40" s="6">
        <v>3</v>
      </c>
      <c r="L40" s="6">
        <v>3</v>
      </c>
      <c r="M40" s="6">
        <v>11</v>
      </c>
      <c r="N40" s="6" cm="1">
        <f t="array" ref="N40">at(H40,I40,J40,K40,L40,M40)</f>
        <v>24</v>
      </c>
    </row>
    <row r="41" spans="2:14" x14ac:dyDescent="0.25">
      <c r="B41" s="3">
        <v>5</v>
      </c>
      <c r="C41" s="3" cm="1">
        <f t="array" ref="C41">volume(B41)</f>
        <v>523.59877559829886</v>
      </c>
      <c r="E41" s="3">
        <v>5</v>
      </c>
      <c r="F41" s="3" cm="1">
        <f t="array" ref="F41">area(E41)</f>
        <v>314.15926535897933</v>
      </c>
      <c r="H41" s="6">
        <v>4</v>
      </c>
      <c r="I41" s="6">
        <v>4</v>
      </c>
      <c r="J41" s="6">
        <v>13</v>
      </c>
      <c r="K41" s="6">
        <v>4</v>
      </c>
      <c r="L41" s="6">
        <v>4</v>
      </c>
      <c r="M41" s="6">
        <v>16</v>
      </c>
      <c r="N41" s="6" cm="1">
        <f t="array" ref="N41">at(H41,I41,J41,K41,L41,M41)</f>
        <v>54</v>
      </c>
    </row>
    <row r="42" spans="2:14" x14ac:dyDescent="0.25">
      <c r="B42" s="3">
        <v>6</v>
      </c>
      <c r="C42" s="3" cm="1">
        <f t="array" ref="C42">volume(B42)</f>
        <v>904.7786842338603</v>
      </c>
      <c r="E42" s="3">
        <v>6</v>
      </c>
      <c r="F42" s="3" cm="1">
        <f t="array" ref="F42">area(E42)</f>
        <v>452.38934211693021</v>
      </c>
      <c r="H42" s="6">
        <v>5</v>
      </c>
      <c r="I42" s="6">
        <v>5</v>
      </c>
      <c r="J42" s="6">
        <v>17</v>
      </c>
      <c r="K42" s="6">
        <v>5</v>
      </c>
      <c r="L42" s="6">
        <v>5</v>
      </c>
      <c r="M42" s="6">
        <v>21</v>
      </c>
      <c r="N42" s="6" cm="1">
        <f t="array" ref="N42">at(H42,I42,J42,K42,L42,M42)</f>
        <v>96</v>
      </c>
    </row>
    <row r="43" spans="2:14" x14ac:dyDescent="0.25">
      <c r="B43" s="3">
        <v>7</v>
      </c>
      <c r="C43" s="3" cm="1">
        <f t="array" ref="C43">volume(B43)</f>
        <v>1436.7550402417319</v>
      </c>
      <c r="E43" s="3">
        <v>7</v>
      </c>
      <c r="F43" s="3" cm="1">
        <f t="array" ref="F43">area(E43)</f>
        <v>615.75216010359941</v>
      </c>
      <c r="H43" s="6">
        <v>6</v>
      </c>
      <c r="I43" s="6">
        <v>6</v>
      </c>
      <c r="J43" s="6">
        <v>21</v>
      </c>
      <c r="K43" s="6">
        <v>6</v>
      </c>
      <c r="L43" s="6">
        <v>6</v>
      </c>
      <c r="M43" s="6">
        <v>26</v>
      </c>
      <c r="N43" s="6" cm="1">
        <f t="array" ref="N43">at(H43,I43,J43,K43,L43,M43)</f>
        <v>150</v>
      </c>
    </row>
    <row r="44" spans="2:14" x14ac:dyDescent="0.25">
      <c r="B44" s="3">
        <v>8</v>
      </c>
      <c r="C44" s="3" cm="1">
        <f t="array" ref="C44">volume(B44)</f>
        <v>2144.6605848506319</v>
      </c>
      <c r="E44" s="3">
        <v>8</v>
      </c>
      <c r="F44" s="3" cm="1">
        <f t="array" ref="F44">area(E44)</f>
        <v>804.24771931898704</v>
      </c>
    </row>
    <row r="45" spans="2:14" x14ac:dyDescent="0.25">
      <c r="B45" s="3">
        <v>9</v>
      </c>
      <c r="C45" s="3" cm="1">
        <f t="array" ref="C45">volume(B45)</f>
        <v>3053.6280592892786</v>
      </c>
      <c r="E45" s="3">
        <v>9</v>
      </c>
      <c r="F45" s="3" cm="1">
        <f t="array" ref="F45">area(E45)</f>
        <v>1017.8760197630929</v>
      </c>
    </row>
    <row r="46" spans="2:14" x14ac:dyDescent="0.25">
      <c r="B46" s="3">
        <v>10</v>
      </c>
      <c r="C46" s="3" cm="1">
        <f t="array" ref="C46">volume(B46)</f>
        <v>4188.7902047863909</v>
      </c>
      <c r="E46" s="3">
        <v>10</v>
      </c>
      <c r="F46" s="3" cm="1">
        <f t="array" ref="F46">area(E46)</f>
        <v>1256.6370614359173</v>
      </c>
    </row>
    <row r="47" spans="2:14" x14ac:dyDescent="0.25">
      <c r="B47" s="3">
        <v>11</v>
      </c>
      <c r="C47" s="3" cm="1">
        <f t="array" ref="C47">volume(B47)</f>
        <v>5575.2797625706862</v>
      </c>
      <c r="E47" s="3">
        <v>11</v>
      </c>
      <c r="F47" s="3" cm="1">
        <f t="array" ref="F47">area(E47)</f>
        <v>1520.5308443374599</v>
      </c>
    </row>
    <row r="48" spans="2:14" x14ac:dyDescent="0.25">
      <c r="B48" s="3">
        <v>12</v>
      </c>
      <c r="C48" s="3" cm="1">
        <f t="array" ref="C48">volume(B48)</f>
        <v>7238.2294738708824</v>
      </c>
      <c r="E48" s="3">
        <v>12</v>
      </c>
      <c r="F48" s="3" cm="1">
        <f t="array" ref="F48">area(E48)</f>
        <v>1809.5573684677208</v>
      </c>
    </row>
  </sheetData>
  <mergeCells count="9">
    <mergeCell ref="H34:N34"/>
    <mergeCell ref="J18:N18"/>
    <mergeCell ref="B34:C34"/>
    <mergeCell ref="E34:F34"/>
    <mergeCell ref="B2:D2"/>
    <mergeCell ref="F2:H2"/>
    <mergeCell ref="J2:K2"/>
    <mergeCell ref="M2:N2"/>
    <mergeCell ref="B18:F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Chamadas da funções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Lincoln Cesar Zamboni</dc:creator>
  <cp:lastModifiedBy>Erick Seiji</cp:lastModifiedBy>
  <dcterms:created xsi:type="dcterms:W3CDTF">2015-06-23T11:44:46Z</dcterms:created>
  <dcterms:modified xsi:type="dcterms:W3CDTF">2020-10-06T16:05:57Z</dcterms:modified>
</cp:coreProperties>
</file>